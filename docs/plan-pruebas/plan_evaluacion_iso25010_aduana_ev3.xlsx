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34f6631ae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d73d38a052f4bf5"/>
    <x:sheet xmlns:r="http://schemas.openxmlformats.org/officeDocument/2006/relationships" name="ISO25010" sheetId="2" r:id="R49e7e7a2f85848a6"/>
    <x:sheet xmlns:r="http://schemas.openxmlformats.org/officeDocument/2006/relationships" name="Casos_Prueba" sheetId="3" r:id="R623a789b7aa74319"/>
    <x:sheet xmlns:r="http://schemas.openxmlformats.org/officeDocument/2006/relationships" name="Trazabilidad" sheetId="4" r:id="Rea57bb267d6c429d"/>
    <x:sheet xmlns:r="http://schemas.openxmlformats.org/officeDocument/2006/relationships" name="Hallazgos" sheetId="5" r:id="Rea5de13824394faa"/>
    <x:sheet xmlns:r="http://schemas.openxmlformats.org/officeDocument/2006/relationships" name="Evidencias" sheetId="6" r:id="Rac67fc3b26f640b1"/>
    <x:sheet xmlns:r="http://schemas.openxmlformats.org/officeDocument/2006/relationships" name="Versionamiento" sheetId="7" r:id="R81f18c29853d4706"/>
    <x:sheet xmlns:r="http://schemas.openxmlformats.org/officeDocument/2006/relationships" name="Correcciones" sheetId="8" r:id="Ra5bfe142bcf64419"/>
    <x:sheet xmlns:r="http://schemas.openxmlformats.org/officeDocument/2006/relationships" name="Prompt_Figma" sheetId="9" r:id="Rfe30cc3ebc59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132D"/>
      </x:patternFill>
    </x:fill>
    <x:fill>
      <x:patternFill patternType="solid">
        <x:fgColor rgb="FF006FB3"/>
      </x:patternFill>
    </x:fill>
    <x:fill>
      <x:patternFill patternType="solid">
        <x:fgColor rgb="FFE8F4FD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DCFCE7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E8F4FD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E8F4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e1c939b514ede" /><Relationship Type="http://schemas.openxmlformats.org/officeDocument/2006/relationships/theme" Target="/xl/theme/theme1.xml" Id="Rc7fbb4a6aae14882" /><Relationship Type="http://schemas.openxmlformats.org/officeDocument/2006/relationships/sharedStrings" Target="/xl/sharedStrings.xml" Id="R2b63d863df024e30" /><Relationship Type="http://schemas.openxmlformats.org/officeDocument/2006/relationships/worksheet" Target="/xl/worksheets/sheet1.xml" Id="Rad73d38a052f4bf5" /><Relationship Type="http://schemas.openxmlformats.org/officeDocument/2006/relationships/worksheet" Target="/xl/worksheets/sheet2.xml" Id="R49e7e7a2f85848a6" /><Relationship Type="http://schemas.openxmlformats.org/officeDocument/2006/relationships/worksheet" Target="/xl/worksheets/sheet3.xml" Id="R623a789b7aa74319" /><Relationship Type="http://schemas.openxmlformats.org/officeDocument/2006/relationships/worksheet" Target="/xl/worksheets/sheet4.xml" Id="Rea57bb267d6c429d" /><Relationship Type="http://schemas.openxmlformats.org/officeDocument/2006/relationships/worksheet" Target="/xl/worksheets/sheet5.xml" Id="Rea5de13824394faa" /><Relationship Type="http://schemas.openxmlformats.org/officeDocument/2006/relationships/worksheet" Target="/xl/worksheets/sheet6.xml" Id="Rac67fc3b26f640b1" /><Relationship Type="http://schemas.openxmlformats.org/officeDocument/2006/relationships/worksheet" Target="/xl/worksheets/sheet7.xml" Id="R81f18c29853d4706" /><Relationship Type="http://schemas.openxmlformats.org/officeDocument/2006/relationships/worksheet" Target="/xl/worksheets/sheet8.xml" Id="Ra5bfe142bcf64419" /><Relationship Type="http://schemas.openxmlformats.org/officeDocument/2006/relationships/worksheet" Target="/xl/worksheets/sheet9.xml" Id="Rfe30cc3ebc5944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dc608fcb8248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pruebas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'Resumen'!$D$10:$D$12</c:f>
              <c:strCache>
                <c:ptCount val="0"/>
              </c:strCache>
            </c:strRef>
          </c:cat>
          <c:val>
            <c:numRef>
              <c:f>'Resumen'!$E$10:$E$12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dc608fcb8248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ricasTecnicas" displayName="MetricasTecnicas" ref="A17:B36" headerRowCount="1">
  <x:tableColumns count="2">
    <x:tableColumn id="1" name="Métrica técnica"/>
    <x:tableColumn id="2" name="Resultado"/>
  </x:tableColumns>
  <x:tableStyleInfo name="TableStyleMedium2" showRowStripes="1"/>
</x:table>
</file>

<file path=xl/tables/table2.xml><?xml version="1.0" encoding="utf-8"?>
<x:table xmlns:x="http://schemas.openxmlformats.org/spreadsheetml/2006/main" id="2" name="ISO25010Table" displayName="ISO25010Table" ref="A4:F12" headerRowCount="1">
  <x:tableColumns count="6">
    <x:tableColumn id="1" name="ID"/>
    <x:tableColumn id="2" name="Característica"/>
    <x:tableColumn id="3" name="Objetivo de evaluación"/>
    <x:tableColumn id="4" name="Método"/>
    <x:tableColumn id="5" name="Criterio de aceptación"/>
    <x:tableColumn id="6" name="Prioridad"/>
  </x:tableColumns>
  <x:tableStyleInfo name="TableStyleMedium2" showRowStripes="1"/>
</x:table>
</file>

<file path=xl/tables/table3.xml><?xml version="1.0" encoding="utf-8"?>
<x:table xmlns:x="http://schemas.openxmlformats.org/spreadsheetml/2006/main" id="3" name="CasosPruebaTable" displayName="CasosPruebaTable" ref="A4:I64" headerRowCount="1">
  <x:tableColumns count="9">
    <x:tableColumn id="1" name="ID"/>
    <x:tableColumn id="2" name="Módulo"/>
    <x:tableColumn id="3" name="Característica ISO"/>
    <x:tableColumn id="4" name="Caso de prueba"/>
    <x:tableColumn id="5" name="Pasos"/>
    <x:tableColumn id="6" name="Resultado esperado"/>
    <x:tableColumn id="7" name="Estado"/>
    <x:tableColumn id="8" name="Evidencia/Fuente"/>
    <x:tableColumn id="9" name="Observación / Corrección v1.1"/>
  </x:tableColumns>
  <x:tableStyleInfo name="TableStyleMedium2" showRowStripes="1"/>
</x:table>
</file>

<file path=xl/tables/table4.xml><?xml version="1.0" encoding="utf-8"?>
<x:table xmlns:x="http://schemas.openxmlformats.org/spreadsheetml/2006/main" id="4" name="TrazabilidadTable" displayName="TrazabilidadTable" ref="A4:E14" headerRowCount="1">
  <x:tableColumns count="5">
    <x:tableColumn id="1" name="Requisito / CU"/>
    <x:tableColumn id="2" name="Descripción"/>
    <x:tableColumn id="3" name="Pruebas asociadas"/>
    <x:tableColumn id="4" name="Estado"/>
    <x:tableColumn id="5" name="Observación"/>
  </x:tableColumns>
  <x:tableStyleInfo name="TableStyleMedium2" showRowStripes="1"/>
</x:table>
</file>

<file path=xl/tables/table5.xml><?xml version="1.0" encoding="utf-8"?>
<x:table xmlns:x="http://schemas.openxmlformats.org/spreadsheetml/2006/main" id="5" name="HallazgosTable" displayName="HallazgosTable" ref="A4:G17" headerRowCount="1">
  <x:tableColumns count="7">
    <x:tableColumn id="1" name="ID defecto"/>
    <x:tableColumn id="2" name="Categoría"/>
    <x:tableColumn id="3" name="Severidad"/>
    <x:tableColumn id="4" name="Descripción"/>
    <x:tableColumn id="5" name="Caso asociado"/>
    <x:tableColumn id="6" name="Corrección recomendada"/>
    <x:tableColumn id="7" name="Estado"/>
  </x:tableColumns>
  <x:tableStyleInfo name="TableStyleMedium2" showRowStripes="1"/>
</x:table>
</file>

<file path=xl/tables/table6.xml><?xml version="1.0" encoding="utf-8"?>
<x:table xmlns:x="http://schemas.openxmlformats.org/spreadsheetml/2006/main" id="6" name="EvidenciasTable" displayName="EvidenciasTable" ref="A4:E12" headerRowCount="1">
  <x:tableColumns count="5">
    <x:tableColumn id="1" name="ID evidencia"/>
    <x:tableColumn id="2" name="Actividad"/>
    <x:tableColumn id="3" name="Estado"/>
    <x:tableColumn id="4" name="Descripción"/>
    <x:tableColumn id="5" name="Archivo / Fuente"/>
  </x:tableColumns>
  <x:tableStyleInfo name="TableStyleMedium2" showRowStripes="1"/>
</x:table>
</file>

<file path=xl/tables/table7.xml><?xml version="1.0" encoding="utf-8"?>
<x:table xmlns:x="http://schemas.openxmlformats.org/spreadsheetml/2006/main" id="7" name="VersionamientoTable" displayName="VersionamientoTable" ref="A4:E8" headerRowCount="1">
  <x:tableColumns count="5">
    <x:tableColumn id="1" name="Versión"/>
    <x:tableColumn id="2" name="Nombre"/>
    <x:tableColumn id="3" name="Descripción"/>
    <x:tableColumn id="4" name="Estado"/>
    <x:tableColumn id="5" name="Notas"/>
  </x:tableColumns>
  <x:tableStyleInfo name="TableStyleMedium2" showRowStripes="1"/>
</x:table>
</file>

<file path=xl/tables/table8.xml><?xml version="1.0" encoding="utf-8"?>
<x:table xmlns:x="http://schemas.openxmlformats.org/spreadsheetml/2006/main" id="8" name="CorreccionesTable" displayName="CorreccionesTable" ref="A4:D15" headerRowCount="1">
  <x:tableColumns count="4">
    <x:tableColumn id="1" name="Prioridad"/>
    <x:tableColumn id="2" name="Categoría"/>
    <x:tableColumn id="3" name="Corrección"/>
    <x:tableColumn id="4" name="Deta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7b014966c043f2" /><Relationship Type="http://schemas.openxmlformats.org/officeDocument/2006/relationships/table" Target="/xl/tables/table1.xml" Id="R2a5ebb853f1c46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6d9f4f616941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7bee2982934d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7451be6ccd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5e250179d240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63dfab3ab64a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782f9ef2a84a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b0d95a84e134fc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8" t="str">
        <x:v>Plan de evaluación ISO/IEC 25010 — Prototipo Aduana Los Libertadores</x:v>
      </x:c>
      <x:c r="B1" s="49" t="str"/>
      <x:c r="C1" s="49" t="str"/>
      <x:c r="D1" s="49" t="str"/>
      <x:c r="E1" s="49" t="str"/>
      <x:c r="F1" s="49" t="str"/>
      <x:c r="G1" s="49" t="str"/>
      <x:c r="H1" s="49" t="str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Evaluación preliminar generada desde ZIP entregado · Fecha: 2026-06-20</x:v>
      </x:c>
      <x:c r="B2" t="str"/>
      <x:c r="C2" t="str"/>
      <x:c r="D2" t="str"/>
      <x:c r="E2" t="str"/>
      <x:c r="F2" t="str"/>
      <x:c r="G2" t="str"/>
      <x:c r="H2" t="str"/>
    </x:row>
    <x:row r="4">
      <x:c r="A4" s="19" t="str">
        <x:v>Sistema</x:v>
      </x:c>
      <x:c r="B4" s="22" t="str">
        <x:v>Sistema de Gestión de Control Aduanero Fronterizo Los Libertadores</x:v>
      </x:c>
      <x:c r="C4" s="22" t="str"/>
      <x:c r="D4" s="22" t="str"/>
      <x:c r="E4" s="19" t="str">
        <x:v>Versión evaluada</x:v>
      </x:c>
      <x:c r="F4" s="22" t="str">
        <x:v>v1.0</x:v>
      </x:c>
      <x:c r="G4" s="22" t="str"/>
      <x:c r="H4" s="22" t="str"/>
    </x:row>
    <x:row r="5">
      <x:c r="A5" s="19" t="str">
        <x:v>Origen</x:v>
      </x:c>
      <x:c r="B5" s="22" t="str">
        <x:v>Código Figma exportado en ZIP</x:v>
      </x:c>
      <x:c r="C5" s="22" t="str"/>
      <x:c r="D5" s="22" t="str"/>
      <x:c r="E5" s="19" t="str">
        <x:v>Resultado general</x:v>
      </x:c>
      <x:c r="F5" s="22" t="str">
        <x:v>Aprobado con observaciones</x:v>
      </x:c>
      <x:c r="G5" s="22" t="str"/>
      <x:c r="H5" s="22" t="str"/>
    </x:row>
    <x:row r="6">
      <x:c r="A6" s="19" t="str">
        <x:v>Build</x:v>
      </x:c>
      <x:c r="B6" s="22" t="str">
        <x:v>Sí</x:v>
      </x:c>
      <x:c r="C6" s="22" t="str"/>
      <x:c r="D6" s="22" t="str"/>
      <x:c r="E6" s="19" t="str">
        <x:v>Audit</x:v>
      </x:c>
      <x:c r="F6" s="22" t="str">
        <x:v>2 vulnerabilidades altas</x:v>
      </x:c>
      <x:c r="G6" s="22" t="str"/>
      <x:c r="H6" s="22" t="str"/>
    </x:row>
    <x:row r="7">
      <x:c r="A7" s="19" t="str">
        <x:v>Archivos fuente</x:v>
      </x:c>
      <x:c r="B7" s="22" t="n">
        <x:v>79</x:v>
      </x:c>
      <x:c r="C7" s="22" t="str"/>
      <x:c r="D7" s="22" t="str"/>
      <x:c r="E7" s="19" t="str">
        <x:v>Pantallas</x:v>
      </x:c>
      <x:c r="F7" s="22" t="n">
        <x:v>10</x:v>
      </x:c>
      <x:c r="G7" s="22" t="str"/>
      <x:c r="H7" s="22" t="str"/>
    </x:row>
    <x:row r="9">
      <x:c r="A9" s="27" t="str">
        <x:v>Métrica</x:v>
      </x:c>
      <x:c r="B9" s="27" t="str">
        <x:v>Valor</x:v>
      </x:c>
      <x:c r="D9" s="27" t="str">
        <x:v>Estado</x:v>
      </x:c>
      <x:c r="E9" s="27" t="str">
        <x:v>Cantidad</x:v>
      </x:c>
    </x:row>
    <x:row r="10">
      <x:c r="A10" s="35" t="str">
        <x:v>Total pruebas</x:v>
      </x:c>
      <x:c r="B10" t="n">
        <x:f>COUNTA(Casos_Prueba!A2:A500)</x:f>
        <x:v>62</x:v>
      </x:c>
      <x:c r="D10" t="str">
        <x:v>Aprobado</x:v>
      </x:c>
      <x:c r="E10" t="n">
        <x:f>COUNTIF(Casos_Prueba!G2:G500,"Aprobado")</x:f>
        <x:v>33</x:v>
      </x:c>
    </x:row>
    <x:row r="11">
      <x:c r="A11" s="35" t="str">
        <x:v>Aprobadas</x:v>
      </x:c>
      <x:c r="B11" t="n">
        <x:f>COUNTIF(Casos_Prueba!G2:G500,"Aprobado")</x:f>
        <x:v>33</x:v>
      </x:c>
      <x:c r="D11" t="str">
        <x:v>Observado</x:v>
      </x:c>
      <x:c r="E11" t="n">
        <x:f>COUNTIF(Casos_Prueba!G2:G500,"Observado")</x:f>
        <x:v>22</x:v>
      </x:c>
    </x:row>
    <x:row r="12">
      <x:c r="A12" s="35" t="str">
        <x:v>Observadas</x:v>
      </x:c>
      <x:c r="B12" t="n">
        <x:f>COUNTIF(Casos_Prueba!G2:G500,"Observado")</x:f>
        <x:v>22</x:v>
      </x:c>
      <x:c r="D12" t="str">
        <x:v>Pendiente</x:v>
      </x:c>
      <x:c r="E12" t="n">
        <x:f>COUNTIF(Casos_Prueba!G2:G500,"Pendiente")</x:f>
        <x:v>5</x:v>
      </x:c>
    </x:row>
    <x:row r="13">
      <x:c r="A13" s="35" t="str">
        <x:v>Pendientes</x:v>
      </x:c>
      <x:c r="B13" t="n">
        <x:f>COUNTIF(Casos_Prueba!G2:G500,"Pendiente")</x:f>
        <x:v>5</x:v>
      </x:c>
    </x:row>
    <x:row r="14">
      <x:c r="A14" s="35" t="str">
        <x:v>Cumplimiento aprobado</x:v>
      </x:c>
      <x:c r="B14" s="32" t="n">
        <x:f>IF(B10=0,0,B11/B10)</x:f>
        <x:v>0.532258064516129</x:v>
      </x:c>
    </x:row>
    <x:row r="17">
      <x:c r="A17" s="27" t="str">
        <x:v>Métrica técnica</x:v>
      </x:c>
      <x:c r="B17" s="27" t="str">
        <x:v>Resultado</x:v>
      </x:c>
    </x:row>
    <x:row r="18">
      <x:c r="A18" s="38" t="str">
        <x:v>Archivos fuente revisados</x:v>
      </x:c>
      <x:c r="B18" s="38" t="n">
        <x:v>79</x:v>
      </x:c>
    </x:row>
    <x:row r="19">
      <x:c r="A19" s="38" t="str">
        <x:v>Archivos TSX</x:v>
      </x:c>
      <x:c r="B19" s="38" t="n">
        <x:v>64</x:v>
      </x:c>
    </x:row>
    <x:row r="20">
      <x:c r="A20" s="38" t="str">
        <x:v>Pantallas detectadas</x:v>
      </x:c>
      <x:c r="B20" s="38" t="n">
        <x:v>10</x:v>
      </x:c>
    </x:row>
    <x:row r="21">
      <x:c r="A21" s="38" t="str">
        <x:v>Inputs HTML detectados</x:v>
      </x:c>
      <x:c r="B21" s="38" t="n">
        <x:v>5</x:v>
      </x:c>
    </x:row>
    <x:row r="22">
      <x:c r="A22" s="38" t="str">
        <x:v>Labels visuales detectados</x:v>
      </x:c>
      <x:c r="B22" s="38" t="n">
        <x:v>7</x:v>
      </x:c>
    </x:row>
    <x:row r="23">
      <x:c r="A23" s="38" t="str">
        <x:v>Labels asociados htmlFor</x:v>
      </x:c>
      <x:c r="B23" s="38" t="n">
        <x:v>1</x:v>
      </x:c>
    </x:row>
    <x:row r="24">
      <x:c r="A24" s="38" t="str">
        <x:v>Botones detectados</x:v>
      </x:c>
      <x:c r="B24" s="38" t="n">
        <x:v>64</x:v>
      </x:c>
    </x:row>
    <x:row r="25">
      <x:c r="A25" s="38" t="str">
        <x:v>Elementos div/span con onClick</x:v>
      </x:c>
      <x:c r="B25" s="38" t="n">
        <x:v>3</x:v>
      </x:c>
    </x:row>
    <x:row r="26">
      <x:c r="A26" s="38" t="str">
        <x:v>aria-label detectados</x:v>
      </x:c>
      <x:c r="B26" s="38" t="n">
        <x:v>5</x:v>
      </x:c>
    </x:row>
    <x:row r="27">
      <x:c r="A27" s="38" t="str">
        <x:v>Modales role=dialog</x:v>
      </x:c>
      <x:c r="B27" s="38" t="n">
        <x:v>0</x:v>
      </x:c>
    </x:row>
    <x:row r="28">
      <x:c r="A28" s="38" t="str">
        <x:v>Uso de Math.random</x:v>
      </x:c>
      <x:c r="B28" s="38" t="n">
        <x:v>2</x:v>
      </x:c>
    </x:row>
    <x:row r="29">
      <x:c r="A29" s="38" t="str">
        <x:v>Media queries propias</x:v>
      </x:c>
      <x:c r="B29" s="38" t="n">
        <x:v>0</x:v>
      </x:c>
    </x:row>
    <x:row r="30">
      <x:c r="A30" s="38" t="str">
        <x:v>Build exitoso</x:v>
      </x:c>
      <x:c r="B30" s="38" t="str">
        <x:v>Sí</x:v>
      </x:c>
    </x:row>
    <x:row r="31">
      <x:c r="A31" s="38" t="str">
        <x:v>Bundle JS principal</x:v>
      </x:c>
      <x:c r="B31" s="38" t="str">
        <x:v>No detectado</x:v>
      </x:c>
    </x:row>
    <x:row r="32">
      <x:c r="A32" s="38" t="str">
        <x:v>Warnings build</x:v>
      </x:c>
      <x:c r="B32" s="38" t="str">
        <x:v>Chunk &gt;500k</x:v>
      </x:c>
    </x:row>
    <x:row r="33">
      <x:c r="A33" s="38" t="str">
        <x:v>Vulnerabilidades npm audit</x:v>
      </x:c>
      <x:c r="B33" s="38" t="str">
        <x:v>2</x:v>
      </x:c>
    </x:row>
    <x:row r="34">
      <x:c r="A34" s="38" t="str">
        <x:v>Vulnerabilidades altas</x:v>
      </x:c>
      <x:c r="B34" s="38" t="str">
        <x:v>2</x:v>
      </x:c>
    </x:row>
    <x:row r="35">
      <x:c r="A35" s="38" t="str">
        <x:v>Lock file incluido en ZIP original</x:v>
      </x:c>
      <x:c r="B35" s="38" t="str">
        <x:v>No</x:v>
      </x:c>
    </x:row>
    <x:row r="36">
      <x:c r="A36" s="38" t="str">
        <x:v>Scripts npm</x:v>
      </x:c>
      <x:c r="B36" s="38" t="str">
        <x:v>build: vite build, dev: vite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17b014966c043f2"/>
  <x:tableParts count="1">
    <x:tablePart xmlns:r="http://schemas.openxmlformats.org/officeDocument/2006/relationships" r:id="R2a5ebb853f1c46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34" hidden="0" customWidth="1"/>
    <x:col min="5" max="5" width="42" hidden="0" customWidth="1"/>
    <x:col min="6" max="6" width="12" hidden="0" customWidth="1"/>
  </x:cols>
  <x:sheetData>
    <x:row r="1" ht="30" customHeight="1">
      <x:c r="A1" s="48" t="str">
        <x:v>Modelo ISO/IEC 25010 aplicado al prototipo</x:v>
      </x:c>
      <x:c r="B1" s="49" t="str"/>
      <x:c r="C1" s="49" t="str"/>
      <x:c r="D1" s="49" t="str"/>
      <x:c r="E1" s="49" t="str"/>
      <x:c r="F1" s="49" t="str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Características, método y criterio de aceptación</x:v>
      </x:c>
      <x:c r="B2" t="str"/>
      <x:c r="C2" t="str"/>
      <x:c r="D2" t="str"/>
      <x:c r="E2" t="str"/>
      <x:c r="F2" t="str"/>
    </x:row>
    <x:row r="4">
      <x:c r="A4" s="27" t="str">
        <x:v>ID</x:v>
      </x:c>
      <x:c r="B4" s="27" t="str">
        <x:v>Característica</x:v>
      </x:c>
      <x:c r="C4" s="27" t="str">
        <x:v>Objetivo de evaluación</x:v>
      </x:c>
      <x:c r="D4" s="27" t="str">
        <x:v>Método</x:v>
      </x:c>
      <x:c r="E4" s="27" t="str">
        <x:v>Criterio de aceptación</x:v>
      </x:c>
      <x:c r="F4" s="27" t="str">
        <x:v>Prioridad</x:v>
      </x:c>
    </x:row>
    <x:row r="5">
      <x:c r="A5" s="38" t="str">
        <x:v>ISO-01</x:v>
      </x:c>
      <x:c r="B5" s="38" t="str">
        <x:v>Adecuación funcional</x:v>
      </x:c>
      <x:c r="C5" s="38" t="str">
        <x:v>Verificar que el prototipo cubre CU-01 a CU-06 y RF09/RF10.</x:v>
      </x:c>
      <x:c r="D5" s="38" t="str">
        <x:v>Revisión estática + prueba manual de navegación</x:v>
      </x:c>
      <x:c r="E5" s="38" t="str">
        <x:v>≥ 90% de casos funcionales aprobados</x:v>
      </x:c>
      <x:c r="F5" s="38" t="str">
        <x:v>Alta</x:v>
      </x:c>
    </x:row>
    <x:row r="6">
      <x:c r="A6" s="38" t="str">
        <x:v>ISO-02</x:v>
      </x:c>
      <x:c r="B6" s="38" t="str">
        <x:v>Eficiencia de desempeño</x:v>
      </x:c>
      <x:c r="C6" s="38" t="str">
        <x:v>Validar compilación, peso de bundle y carga local.</x:v>
      </x:c>
      <x:c r="D6" s="38" t="str">
        <x:v>npm run build + Lighthouse</x:v>
      </x:c>
      <x:c r="E6" s="38" t="str">
        <x:v>Build OK, Performance ≥80, sin bloqueos críticos</x:v>
      </x:c>
      <x:c r="F6" s="38" t="str">
        <x:v>Media</x:v>
      </x:c>
    </x:row>
    <x:row r="7">
      <x:c r="A7" s="38" t="str">
        <x:v>ISO-03</x:v>
      </x:c>
      <x:c r="B7" s="38" t="str">
        <x:v>Compatibilidad</x:v>
      </x:c>
      <x:c r="C7" s="38" t="str">
        <x:v>Verificar visualización en navegadores y resoluciones.</x:v>
      </x:c>
      <x:c r="D7" s="38" t="str">
        <x:v>Prueba Chrome/Firefox/Edge + responsive</x:v>
      </x:c>
      <x:c r="E7" s="38" t="str">
        <x:v>Sin cortes críticos en desktop/tablet/móvil</x:v>
      </x:c>
      <x:c r="F7" s="38" t="str">
        <x:v>Media</x:v>
      </x:c>
    </x:row>
    <x:row r="8">
      <x:c r="A8" s="38" t="str">
        <x:v>ISO-04</x:v>
      </x:c>
      <x:c r="B8" s="38" t="str">
        <x:v>Usabilidad / interacción</x:v>
      </x:c>
      <x:c r="C8" s="38" t="str">
        <x:v>Evaluar claridad, navegación, formularios y mensajes.</x:v>
      </x:c>
      <x:c r="D8" s="38" t="str">
        <x:v>Checklist manual + recorrido por roles</x:v>
      </x:c>
      <x:c r="E8" s="38" t="str">
        <x:v>El usuario entiende el flujo sin instrucciones externas</x:v>
      </x:c>
      <x:c r="F8" s="38" t="str">
        <x:v>Alta</x:v>
      </x:c>
    </x:row>
    <x:row r="9">
      <x:c r="A9" s="38" t="str">
        <x:v>ISO-05</x:v>
      </x:c>
      <x:c r="B9" s="38" t="str">
        <x:v>Fiabilidad</x:v>
      </x:c>
      <x:c r="C9" s="38" t="str">
        <x:v>Validar estabilidad frente a navegación repetida, errores y modales.</x:v>
      </x:c>
      <x:c r="D9" s="38" t="str">
        <x:v>Prueba manual + revisión de consola</x:v>
      </x:c>
      <x:c r="E9" s="38" t="str">
        <x:v>0 errores críticos, estados consistentes</x:v>
      </x:c>
      <x:c r="F9" s="38" t="str">
        <x:v>Media</x:v>
      </x:c>
    </x:row>
    <x:row r="10">
      <x:c r="A10" s="38" t="str">
        <x:v>ISO-06</x:v>
      </x:c>
      <x:c r="B10" s="38" t="str">
        <x:v>Seguridad</x:v>
      </x:c>
      <x:c r="C10" s="38" t="str">
        <x:v>Revisar separación por roles, credenciales demo, rutas y dependencias.</x:v>
      </x:c>
      <x:c r="D10" s="38" t="str">
        <x:v>Revisión de código + npm audit</x:v>
      </x:c>
      <x:c r="E10" s="38" t="str">
        <x:v>Sin acceso incoherente a módulos ni vulnerabilidades altas</x:v>
      </x:c>
      <x:c r="F10" s="38" t="str">
        <x:v>Alta</x:v>
      </x:c>
    </x:row>
    <x:row r="11">
      <x:c r="A11" s="38" t="str">
        <x:v>ISO-07</x:v>
      </x:c>
      <x:c r="B11" s="38" t="str">
        <x:v>Mantenibilidad</x:v>
      </x:c>
      <x:c r="C11" s="38" t="str">
        <x:v>Revisar estructura, componentes, estilos, scripts y documentación.</x:v>
      </x:c>
      <x:c r="D11" s="38" t="str">
        <x:v>Revisión de código</x:v>
      </x:c>
      <x:c r="E11" s="38" t="str">
        <x:v>Componentes reutilizables, README suficiente, scripts de calidad</x:v>
      </x:c>
      <x:c r="F11" s="38" t="str">
        <x:v>Media</x:v>
      </x:c>
    </x:row>
    <x:row r="12">
      <x:c r="A12" s="38" t="str">
        <x:v>ISO-08</x:v>
      </x:c>
      <x:c r="B12" s="38" t="str">
        <x:v>Portabilidad</x:v>
      </x:c>
      <x:c r="C12" s="38" t="str">
        <x:v>Validar instalación y ejecución en otro ambiente.</x:v>
      </x:c>
      <x:c r="D12" s="38" t="str">
        <x:v>npm install + npm run dev/build</x:v>
      </x:c>
      <x:c r="E12" s="38" t="str">
        <x:v>Instalación reproducible y sin rutas locales absolutas</x:v>
      </x:c>
      <x:c r="F12" s="38" t="str">
        <x:v>Media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b6d9f4f616941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8" hidden="0" customWidth="1"/>
    <x:col min="5" max="5" width="38" hidden="0" customWidth="1"/>
    <x:col min="6" max="6" width="38" hidden="0" customWidth="1"/>
    <x:col min="7" max="7" width="14" hidden="0" customWidth="1"/>
    <x:col min="8" max="8" width="28" hidden="0" customWidth="1"/>
    <x:col min="9" max="9" width="52" hidden="0" customWidth="1"/>
  </x:cols>
  <x:sheetData>
    <x:row r="1" ht="30" customHeight="1">
      <x:c r="A1" s="48" t="str">
        <x:v>Matriz de casos de prueba y ejecución preliminar</x:v>
      </x:c>
      <x:c r="B1" s="49" t="str"/>
      <x:c r="C1" s="49" t="str"/>
      <x:c r="D1" s="49" t="str"/>
      <x:c r="E1" s="49" t="str"/>
      <x:c r="F1" s="49" t="str"/>
      <x:c r="G1" s="49" t="str"/>
      <x:c r="H1" s="49" t="str"/>
      <x:c r="I1" s="49" t="str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Estados: Aprobado / Observado / Pendiente</x:v>
      </x:c>
      <x:c r="B2" t="str"/>
      <x:c r="C2" t="str"/>
      <x:c r="D2" t="str"/>
      <x:c r="E2" t="str"/>
      <x:c r="F2" t="str"/>
      <x:c r="G2" t="str"/>
      <x:c r="H2" t="str"/>
      <x:c r="I2" t="str"/>
    </x:row>
    <x:row r="4">
      <x:c r="A4" s="27" t="str">
        <x:v>ID</x:v>
      </x:c>
      <x:c r="B4" s="27" t="str">
        <x:v>Módulo</x:v>
      </x:c>
      <x:c r="C4" s="27" t="str">
        <x:v>Característica ISO</x:v>
      </x:c>
      <x:c r="D4" s="27" t="str">
        <x:v>Caso de prueba</x:v>
      </x:c>
      <x:c r="E4" s="27" t="str">
        <x:v>Pasos</x:v>
      </x:c>
      <x:c r="F4" s="27" t="str">
        <x:v>Resultado esperado</x:v>
      </x:c>
      <x:c r="G4" s="27" t="str">
        <x:v>Estado</x:v>
      </x:c>
      <x:c r="H4" s="27" t="str">
        <x:v>Evidencia/Fuente</x:v>
      </x:c>
      <x:c r="I4" s="27" t="str">
        <x:v>Observación / Corrección v1.1</x:v>
      </x:c>
    </x:row>
    <x:row r="5">
      <x:c r="A5" s="38" t="str">
        <x:v>PF-01</x:v>
      </x:c>
      <x:c r="B5" s="38" t="str">
        <x:v>Home</x:v>
      </x:c>
      <x:c r="C5" s="38" t="str">
        <x:v>Adecuación funcional</x:v>
      </x:c>
      <x:c r="D5" s="38" t="str">
        <x:v>Acceso a página principal</x:v>
      </x:c>
      <x:c r="E5" s="38" t="str">
        <x:v>Abrir prototipo</x:v>
      </x:c>
      <x:c r="F5" s="38" t="str">
        <x:v>Muestra portada institucional del sistema</x:v>
      </x:c>
      <x:c r="G5" s="38" t="str">
        <x:v>Aprobado</x:v>
      </x:c>
      <x:c r="H5" s="38" t="str">
        <x:v>HomePage.tsx</x:v>
      </x:c>
      <x:c r="I5" s="38" t="str">
        <x:v>Cumple con hero, descripción, datos del Paso Los Libertadores y navegación inicial.</x:v>
      </x:c>
    </x:row>
    <x:row r="6">
      <x:c r="A6" s="38" t="str">
        <x:v>PF-02</x:v>
      </x:c>
      <x:c r="B6" s="38" t="str">
        <x:v>Home/Login</x:v>
      </x:c>
      <x:c r="C6" s="38" t="str">
        <x:v>Adecuación funcional</x:v>
      </x:c>
      <x:c r="D6" s="38" t="str">
        <x:v>Navegar a inicio de sesión</x:v>
      </x:c>
      <x:c r="E6" s="38" t="str">
        <x:v>Presionar 'Iniciar sesión'</x:v>
      </x:c>
      <x:c r="F6" s="38" t="str">
        <x:v>Se abre pantalla de login</x:v>
      </x:c>
      <x:c r="G6" s="38" t="str">
        <x:v>Aprobado</x:v>
      </x:c>
      <x:c r="H6" s="38" t="str">
        <x:v>HomePage.tsx + App.tsx</x:v>
      </x:c>
      <x:c r="I6" s="38" t="str">
        <x:v>Botón navega a 'login'.</x:v>
      </x:c>
    </x:row>
    <x:row r="7">
      <x:c r="A7" s="38" t="str">
        <x:v>PF-03</x:v>
      </x:c>
      <x:c r="B7" s="38" t="str">
        <x:v>Login</x:v>
      </x:c>
      <x:c r="C7" s="38" t="str">
        <x:v>Seguridad / funcionalidad</x:v>
      </x:c>
      <x:c r="D7" s="38" t="str">
        <x:v>Login Operador Aduanero</x:v>
      </x:c>
      <x:c r="E7" s="38" t="str">
        <x:v>Ingresar operador@aduanachile.cl / 12345</x:v>
      </x:c>
      <x:c r="F7" s="38" t="str">
        <x:v>Abre Dashboard Operador</x:v>
      </x:c>
      <x:c r="G7" s="38" t="str">
        <x:v>Aprobado</x:v>
      </x:c>
      <x:c r="H7" s="38" t="str">
        <x:v>LoginPage.tsx + types.ts</x:v>
      </x:c>
      <x:c r="I7" s="38" t="str">
        <x:v>Credenciales demo y rol operador implementados.</x:v>
      </x:c>
    </x:row>
    <x:row r="8">
      <x:c r="A8" s="38" t="str">
        <x:v>PF-04</x:v>
      </x:c>
      <x:c r="B8" s="38" t="str">
        <x:v>Login</x:v>
      </x:c>
      <x:c r="C8" s="38" t="str">
        <x:v>Seguridad / funcionalidad</x:v>
      </x:c>
      <x:c r="D8" s="38" t="str">
        <x:v>Login Supervisor Aduanero</x:v>
      </x:c>
      <x:c r="E8" s="38" t="str">
        <x:v>Ingresar supervisor@aduanachile.cl / 12345</x:v>
      </x:c>
      <x:c r="F8" s="38" t="str">
        <x:v>Abre Dashboard Supervisor</x:v>
      </x:c>
      <x:c r="G8" s="38" t="str">
        <x:v>Aprobado</x:v>
      </x:c>
      <x:c r="H8" s="38" t="str">
        <x:v>LoginPage.tsx + types.ts</x:v>
      </x:c>
      <x:c r="I8" s="38" t="str">
        <x:v>Credenciales demo y rol supervisor implementados.</x:v>
      </x:c>
    </x:row>
    <x:row r="9">
      <x:c r="A9" s="38" t="str">
        <x:v>PF-05</x:v>
      </x:c>
      <x:c r="B9" s="38" t="str">
        <x:v>Login</x:v>
      </x:c>
      <x:c r="C9" s="38" t="str">
        <x:v>Seguridad / funcionalidad</x:v>
      </x:c>
      <x:c r="D9" s="38" t="str">
        <x:v>Login Administrador</x:v>
      </x:c>
      <x:c r="E9" s="38" t="str">
        <x:v>Ingresar administrador@aduanachile.cl / 12345</x:v>
      </x:c>
      <x:c r="F9" s="38" t="str">
        <x:v>Abre Dashboard Administrador</x:v>
      </x:c>
      <x:c r="G9" s="38" t="str">
        <x:v>Aprobado</x:v>
      </x:c>
      <x:c r="H9" s="38" t="str">
        <x:v>LoginPage.tsx + types.ts</x:v>
      </x:c>
      <x:c r="I9" s="38" t="str">
        <x:v>Clave 12345 usada por consistencia.</x:v>
      </x:c>
    </x:row>
    <x:row r="10">
      <x:c r="A10" s="38" t="str">
        <x:v>PF-06</x:v>
      </x:c>
      <x:c r="B10" s="38" t="str">
        <x:v>Login</x:v>
      </x:c>
      <x:c r="C10" s="38" t="str">
        <x:v>Usabilidad / seguridad</x:v>
      </x:c>
      <x:c r="D10" s="38" t="str">
        <x:v>Credenciales inválidas</x:v>
      </x:c>
      <x:c r="E10" s="38" t="str">
        <x:v>Ingresar correo/clave incorrectos</x:v>
      </x:c>
      <x:c r="F10" s="38" t="str">
        <x:v>Mensaje de error claro</x:v>
      </x:c>
      <x:c r="G10" s="38" t="str">
        <x:v>Aprobado</x:v>
      </x:c>
      <x:c r="H10" s="38" t="str">
        <x:v>LoginPage.tsx</x:v>
      </x:c>
      <x:c r="I10" s="38" t="str">
        <x:v>Mensaje visual: 'Credenciales inválidas'.</x:v>
      </x:c>
    </x:row>
    <x:row r="11">
      <x:c r="A11" s="38" t="str">
        <x:v>PF-07</x:v>
      </x:c>
      <x:c r="B11" s="38" t="str">
        <x:v>Operador</x:v>
      </x:c>
      <x:c r="C11" s="38" t="str">
        <x:v>Adecuación funcional</x:v>
      </x:c>
      <x:c r="D11" s="38" t="str">
        <x:v>Dashboard Operador</x:v>
      </x:c>
      <x:c r="E11" s="38" t="str">
        <x:v>Ingresar como operador</x:v>
      </x:c>
      <x:c r="F11" s="38" t="str">
        <x:v>Muestra expedientes, documentos, vehículos, alertas y validaciones</x:v>
      </x:c>
      <x:c r="G11" s="38" t="str">
        <x:v>Aprobado</x:v>
      </x:c>
      <x:c r="H11" s="38" t="str">
        <x:v>OperadorDashboard.tsx</x:v>
      </x:c>
      <x:c r="I11" s="38" t="str">
        <x:v>Módulos clave presentes.</x:v>
      </x:c>
    </x:row>
    <x:row r="12">
      <x:c r="A12" s="38" t="str">
        <x:v>PF-08</x:v>
      </x:c>
      <x:c r="B12" s="38" t="str">
        <x:v>Expediente</x:v>
      </x:c>
      <x:c r="C12" s="38" t="str">
        <x:v>Adecuación funcional</x:v>
      </x:c>
      <x:c r="D12" s="38" t="str">
        <x:v>Crear/consultar expediente CU-02</x:v>
      </x:c>
      <x:c r="E12" s="38" t="str">
        <x:v>Dashboard operador → Nuevo expediente</x:v>
      </x:c>
      <x:c r="F12" s="38" t="str">
        <x:v>Formulario de expediente visible</x:v>
      </x:c>
      <x:c r="G12" s="38" t="str">
        <x:v>Aprobado</x:v>
      </x:c>
      <x:c r="H12" s="38" t="str">
        <x:v>NuevoExpediente.tsx</x:v>
      </x:c>
      <x:c r="I12" s="38" t="str">
        <x:v>Wizard paso 1 implementado.</x:v>
      </x:c>
    </x:row>
    <x:row r="13">
      <x:c r="A13" s="38" t="str">
        <x:v>PF-09</x:v>
      </x:c>
      <x:c r="B13" s="38" t="str">
        <x:v>Expediente</x:v>
      </x:c>
      <x:c r="C13" s="38" t="str">
        <x:v>Adecuación funcional</x:v>
      </x:c>
      <x:c r="D13" s="38" t="str">
        <x:v>Registrar datos de viajero</x:v>
      </x:c>
      <x:c r="E13" s="38" t="str">
        <x:v>Completar datos del formulario</x:v>
      </x:c>
      <x:c r="F13" s="38" t="str">
        <x:v>Permite avanzar a decisión de menor</x:v>
      </x:c>
      <x:c r="G13" s="38" t="str">
        <x:v>Aprobado</x:v>
      </x:c>
      <x:c r="H13" s="38" t="str">
        <x:v>NuevoExpediente.tsx</x:v>
      </x:c>
      <x:c r="I13" s="38" t="str">
        <x:v>Datos demo precargados.</x:v>
      </x:c>
    </x:row>
    <x:row r="14">
      <x:c r="A14" s="38" t="str">
        <x:v>PF-10</x:v>
      </x:c>
      <x:c r="B14" s="38" t="str">
        <x:v>Menor</x:v>
      </x:c>
      <x:c r="C14" s="38" t="str">
        <x:v>Adecuación funcional</x:v>
      </x:c>
      <x:c r="D14" s="38" t="str">
        <x:v>Validar menor de edad CU-03</x:v>
      </x:c>
      <x:c r="E14" s="38" t="str">
        <x:v>Marcar viajero menor</x:v>
      </x:c>
      <x:c r="F14" s="38" t="str">
        <x:v>Se muestra validación documental</x:v>
      </x:c>
      <x:c r="G14" s="38" t="str">
        <x:v>Aprobado</x:v>
      </x:c>
      <x:c r="H14" s="38" t="str">
        <x:v>NuevoExpediente.tsx</x:v>
      </x:c>
      <x:c r="I14" s="38" t="str">
        <x:v>Flujo condicional implementado.</x:v>
      </x:c>
    </x:row>
    <x:row r="15">
      <x:c r="A15" s="38" t="str">
        <x:v>PF-11</x:v>
      </x:c>
      <x:c r="B15" s="38" t="str">
        <x:v>Menor/alertas</x:v>
      </x:c>
      <x:c r="C15" s="38" t="str">
        <x:v>Adecuación funcional</x:v>
      </x:c>
      <x:c r="D15" s="38" t="str">
        <x:v>Falta documentación de menor</x:v>
      </x:c>
      <x:c r="E15" s="38" t="str">
        <x:v>Presionar 'Falta documentación'</x:v>
      </x:c>
      <x:c r="F15" s="38" t="str">
        <x:v>Genera alerta RF09</x:v>
      </x:c>
      <x:c r="G15" s="38" t="str">
        <x:v>Aprobado</x:v>
      </x:c>
      <x:c r="H15" s="38" t="str">
        <x:v>NuevoExpediente.tsx</x:v>
      </x:c>
      <x:c r="I15" s="38" t="str">
        <x:v>Modal de alerta RF09 implementado.</x:v>
      </x:c>
    </x:row>
    <x:row r="16">
      <x:c r="A16" s="38" t="str">
        <x:v>PF-12</x:v>
      </x:c>
      <x:c r="B16" s="38" t="str">
        <x:v>Vehículo</x:v>
      </x:c>
      <x:c r="C16" s="38" t="str">
        <x:v>Adecuación funcional</x:v>
      </x:c>
      <x:c r="D16" s="38" t="str">
        <x:v>Registrar vehículo CU-04</x:v>
      </x:c>
      <x:c r="E16" s="38" t="str">
        <x:v>Marcar que viaja con vehículo</x:v>
      </x:c>
      <x:c r="F16" s="38" t="str">
        <x:v>Se muestra formulario vehicular</x:v>
      </x:c>
      <x:c r="G16" s="38" t="str">
        <x:v>Aprobado</x:v>
      </x:c>
      <x:c r="H16" s="38" t="str">
        <x:v>NuevoExpediente.tsx</x:v>
      </x:c>
      <x:c r="I16" s="38" t="str">
        <x:v>Formulario vehicular implementado.</x:v>
      </x:c>
    </x:row>
    <x:row r="17">
      <x:c r="A17" s="38" t="str">
        <x:v>PF-13</x:v>
      </x:c>
      <x:c r="B17" s="38" t="str">
        <x:v>Vehículo/alertas</x:v>
      </x:c>
      <x:c r="C17" s="38" t="str">
        <x:v>Adecuación funcional</x:v>
      </x:c>
      <x:c r="D17" s="38" t="str">
        <x:v>Datos inconsistentes de vehículo</x:v>
      </x:c>
      <x:c r="E17" s="38" t="str">
        <x:v>Presionar 'Datos inconsistentes'</x:v>
      </x:c>
      <x:c r="F17" s="38" t="str">
        <x:v>Genera alerta RF09</x:v>
      </x:c>
      <x:c r="G17" s="38" t="str">
        <x:v>Aprobado</x:v>
      </x:c>
      <x:c r="H17" s="38" t="str">
        <x:v>NuevoExpediente.tsx</x:v>
      </x:c>
      <x:c r="I17" s="38" t="str">
        <x:v>Alerta CU-04 implementada.</x:v>
      </x:c>
    </x:row>
    <x:row r="18">
      <x:c r="A18" s="38" t="str">
        <x:v>PF-14</x:v>
      </x:c>
      <x:c r="B18" s="38" t="str">
        <x:v>Validaciones externas</x:v>
      </x:c>
      <x:c r="C18" s="38" t="str">
        <x:v>Fiabilidad / funcionalidad</x:v>
      </x:c>
      <x:c r="D18" s="38" t="str">
        <x:v>Consultar SAG</x:v>
      </x:c>
      <x:c r="E18" s="38" t="str">
        <x:v>Simular consulta SAG</x:v>
      </x:c>
      <x:c r="F18" s="38" t="str">
        <x:v>Debe mostrar resultado controlado</x:v>
      </x:c>
      <x:c r="G18" s="38" t="str">
        <x:v>Observado</x:v>
      </x:c>
      <x:c r="H18" s="38" t="str">
        <x:v>NuevoExpediente.tsx</x:v>
      </x:c>
      <x:c r="I18" s="38" t="str">
        <x:v>La simulación usa Math.random; conviene resultado determinístico para pruebas.</x:v>
      </x:c>
    </x:row>
    <x:row r="19">
      <x:c r="A19" s="38" t="str">
        <x:v>PF-15</x:v>
      </x:c>
      <x:c r="B19" s="38" t="str">
        <x:v>Validaciones externas</x:v>
      </x:c>
      <x:c r="C19" s="38" t="str">
        <x:v>Fiabilidad / funcionalidad</x:v>
      </x:c>
      <x:c r="D19" s="38" t="str">
        <x:v>Consultar PDI</x:v>
      </x:c>
      <x:c r="E19" s="38" t="str">
        <x:v>Simular consulta PDI</x:v>
      </x:c>
      <x:c r="F19" s="38" t="str">
        <x:v>Debe mostrar resultado controlado</x:v>
      </x:c>
      <x:c r="G19" s="38" t="str">
        <x:v>Observado</x:v>
      </x:c>
      <x:c r="H19" s="38" t="str">
        <x:v>NuevoExpediente.tsx</x:v>
      </x:c>
      <x:c r="I19" s="38" t="str">
        <x:v>Mismo hallazgo: resultado aleatorio dificulta repetir evidencia.</x:v>
      </x:c>
    </x:row>
    <x:row r="20">
      <x:c r="A20" s="38" t="str">
        <x:v>PF-16</x:v>
      </x:c>
      <x:c r="B20" s="38" t="str">
        <x:v>Validaciones externas</x:v>
      </x:c>
      <x:c r="C20" s="38" t="str">
        <x:v>Fiabilidad / funcionalidad</x:v>
      </x:c>
      <x:c r="D20" s="38" t="str">
        <x:v>Consultar Aduana Limítrofe</x:v>
      </x:c>
      <x:c r="E20" s="38" t="str">
        <x:v>Simular consulta externa</x:v>
      </x:c>
      <x:c r="F20" s="38" t="str">
        <x:v>Debe mostrar resultado controlado</x:v>
      </x:c>
      <x:c r="G20" s="38" t="str">
        <x:v>Observado</x:v>
      </x:c>
      <x:c r="H20" s="38" t="str">
        <x:v>NuevoExpediente.tsx</x:v>
      </x:c>
      <x:c r="I20" s="38" t="str">
        <x:v>Mismo hallazgo: resultado aleatorio dificulta repetir evidencia.</x:v>
      </x:c>
    </x:row>
    <x:row r="21">
      <x:c r="A21" s="38" t="str">
        <x:v>PF-17</x:v>
      </x:c>
      <x:c r="B21" s="38" t="str">
        <x:v>Alertas</x:v>
      </x:c>
      <x:c r="C21" s="38" t="str">
        <x:v>Adecuación funcional</x:v>
      </x:c>
      <x:c r="D21" s="38" t="str">
        <x:v>Listar alertas RF09</x:v>
      </x:c>
      <x:c r="E21" s="38" t="str">
        <x:v>Abrir módulo Alertas</x:v>
      </x:c>
      <x:c r="F21" s="38" t="str">
        <x:v>Muestra tabla con filtros y detalle</x:v>
      </x:c>
      <x:c r="G21" s="38" t="str">
        <x:v>Aprobado</x:v>
      </x:c>
      <x:c r="H21" s="38" t="str">
        <x:v>Alertas.tsx</x:v>
      </x:c>
      <x:c r="I21" s="38" t="str">
        <x:v>RF09 representado con estados y filtros.</x:v>
      </x:c>
    </x:row>
    <x:row r="22">
      <x:c r="A22" s="38" t="str">
        <x:v>PF-18</x:v>
      </x:c>
      <x:c r="B22" s="38" t="str">
        <x:v>Alertas</x:v>
      </x:c>
      <x:c r="C22" s="38" t="str">
        <x:v>Adecuación funcional</x:v>
      </x:c>
      <x:c r="D22" s="38" t="str">
        <x:v>Resolver alerta</x:v>
      </x:c>
      <x:c r="E22" s="38" t="str">
        <x:v>Abrir alerta → Marcar como resuelta</x:v>
      </x:c>
      <x:c r="F22" s="38" t="str">
        <x:v>Estado cambia a resuelta</x:v>
      </x:c>
      <x:c r="G22" s="38" t="str">
        <x:v>Aprobado</x:v>
      </x:c>
      <x:c r="H22" s="38" t="str">
        <x:v>Alertas.tsx</x:v>
      </x:c>
      <x:c r="I22" s="38" t="str">
        <x:v>Actualización de estado implementada en memoria.</x:v>
      </x:c>
    </x:row>
    <x:row r="23">
      <x:c r="A23" s="38" t="str">
        <x:v>PF-19</x:v>
      </x:c>
      <x:c r="B23" s="38" t="str">
        <x:v>Alertas</x:v>
      </x:c>
      <x:c r="C23" s="38" t="str">
        <x:v>Adecuación funcional</x:v>
      </x:c>
      <x:c r="D23" s="38" t="str">
        <x:v>Derivar alerta</x:v>
      </x:c>
      <x:c r="E23" s="38" t="str">
        <x:v>Abrir alerta → Derivar</x:v>
      </x:c>
      <x:c r="F23" s="38" t="str">
        <x:v>Estado cambia a derivada</x:v>
      </x:c>
      <x:c r="G23" s="38" t="str">
        <x:v>Aprobado</x:v>
      </x:c>
      <x:c r="H23" s="38" t="str">
        <x:v>Alertas.tsx</x:v>
      </x:c>
      <x:c r="I23" s="38" t="str">
        <x:v>Derivación implementada.</x:v>
      </x:c>
    </x:row>
    <x:row r="24">
      <x:c r="A24" s="38" t="str">
        <x:v>PF-20</x:v>
      </x:c>
      <x:c r="B24" s="38" t="str">
        <x:v>Expediente</x:v>
      </x:c>
      <x:c r="C24" s="38" t="str">
        <x:v>Adecuación funcional</x:v>
      </x:c>
      <x:c r="D24" s="38" t="str">
        <x:v>Cerrar atención</x:v>
      </x:c>
      <x:c r="E24" s="38" t="str">
        <x:v>Resolver alertas y cerrar</x:v>
      </x:c>
      <x:c r="F24" s="38" t="str">
        <x:v>Muestra resumen final</x:v>
      </x:c>
      <x:c r="G24" s="38" t="str">
        <x:v>Aprobado</x:v>
      </x:c>
      <x:c r="H24" s="38" t="str">
        <x:v>NuevoExpediente.tsx</x:v>
      </x:c>
      <x:c r="I24" s="38" t="str">
        <x:v>Cierre disponible cuando no quedan alertas abiertas.</x:v>
      </x:c>
    </x:row>
    <x:row r="25">
      <x:c r="A25" s="38" t="str">
        <x:v>PF-21</x:v>
      </x:c>
      <x:c r="B25" s="38" t="str">
        <x:v>Reportes</x:v>
      </x:c>
      <x:c r="C25" s="38" t="str">
        <x:v>Adecuación funcional</x:v>
      </x:c>
      <x:c r="D25" s="38" t="str">
        <x:v>Visualizar CU-06</x:v>
      </x:c>
      <x:c r="E25" s="38" t="str">
        <x:v>Abrir Reportes</x:v>
      </x:c>
      <x:c r="F25" s="38" t="str">
        <x:v>Muestra filtros, gráficos y tabla</x:v>
      </x:c>
      <x:c r="G25" s="38" t="str">
        <x:v>Aprobado</x:v>
      </x:c>
      <x:c r="H25" s="38" t="str">
        <x:v>Reportes.tsx</x:v>
      </x:c>
      <x:c r="I25" s="38" t="str">
        <x:v>Reportes implementado con Recharts.</x:v>
      </x:c>
    </x:row>
    <x:row r="26">
      <x:c r="A26" s="38" t="str">
        <x:v>PF-22</x:v>
      </x:c>
      <x:c r="B26" s="38" t="str">
        <x:v>Reportes</x:v>
      </x:c>
      <x:c r="C26" s="38" t="str">
        <x:v>Adecuación funcional</x:v>
      </x:c>
      <x:c r="D26" s="38" t="str">
        <x:v>Exportar reporte PDF/Excel</x:v>
      </x:c>
      <x:c r="E26" s="38" t="str">
        <x:v>Presionar botones Exportar PDF/Excel/Descargar</x:v>
      </x:c>
      <x:c r="F26" s="38" t="str">
        <x:v>Debe generar descarga o feedback visible</x:v>
      </x:c>
      <x:c r="G26" s="38" t="str">
        <x:v>Observado</x:v>
      </x:c>
      <x:c r="H26" s="38" t="str">
        <x:v>Reportes.tsx</x:v>
      </x:c>
      <x:c r="I26" s="38" t="str">
        <x:v>Botones no tienen onClick ni feedback simulado.</x:v>
      </x:c>
    </x:row>
    <x:row r="27">
      <x:c r="A27" s="38" t="str">
        <x:v>PF-23</x:v>
      </x:c>
      <x:c r="B27" s="38" t="str">
        <x:v>Sesión</x:v>
      </x:c>
      <x:c r="C27" s="38" t="str">
        <x:v>Seguridad</x:v>
      </x:c>
      <x:c r="D27" s="38" t="str">
        <x:v>Cerrar sesión</x:v>
      </x:c>
      <x:c r="E27" s="38" t="str">
        <x:v>Presionar cerrar sesión</x:v>
      </x:c>
      <x:c r="F27" s="38" t="str">
        <x:v>Vuelve al login</x:v>
      </x:c>
      <x:c r="G27" s="38" t="str">
        <x:v>Aprobado</x:v>
      </x:c>
      <x:c r="H27" s="38" t="str">
        <x:v>App.tsx + Header/Sidebar</x:v>
      </x:c>
      <x:c r="I27" s="38" t="str">
        <x:v>Logout limpia usuario y navega a login.</x:v>
      </x:c>
    </x:row>
    <x:row r="28">
      <x:c r="A28" s="38" t="str">
        <x:v>PR-OP-01</x:v>
      </x:c>
      <x:c r="B28" s="38" t="str">
        <x:v>Roles</x:v>
      </x:c>
      <x:c r="C28" s="38" t="str">
        <x:v>Seguridad</x:v>
      </x:c>
      <x:c r="D28" s="38" t="str">
        <x:v>Permisos visuales Operador</x:v>
      </x:c>
      <x:c r="E28" s="38" t="str">
        <x:v>Login operador</x:v>
      </x:c>
      <x:c r="F28" s="38" t="str">
        <x:v>Menú operador sin usuarios/roles/admin</x:v>
      </x:c>
      <x:c r="G28" s="38" t="str">
        <x:v>Aprobado</x:v>
      </x:c>
      <x:c r="H28" s="38" t="str">
        <x:v>Sidebar.tsx</x:v>
      </x:c>
      <x:c r="I28" s="38" t="str">
        <x:v>Sidebar define ítems específicos por rol.</x:v>
      </x:c>
    </x:row>
    <x:row r="29">
      <x:c r="A29" s="38" t="str">
        <x:v>PR-SUP-01</x:v>
      </x:c>
      <x:c r="B29" s="38" t="str">
        <x:v>Roles</x:v>
      </x:c>
      <x:c r="C29" s="38" t="str">
        <x:v>Seguridad</x:v>
      </x:c>
      <x:c r="D29" s="38" t="str">
        <x:v>Permisos visuales Supervisor</x:v>
      </x:c>
      <x:c r="E29" s="38" t="str">
        <x:v>Login supervisor</x:v>
      </x:c>
      <x:c r="F29" s="38" t="str">
        <x:v>Menú con alertas, revisión, expedientes, reportes</x:v>
      </x:c>
      <x:c r="G29" s="38" t="str">
        <x:v>Aprobado</x:v>
      </x:c>
      <x:c r="H29" s="38" t="str">
        <x:v>Sidebar.tsx</x:v>
      </x:c>
      <x:c r="I29" s="38" t="str">
        <x:v>Sidebar supervisor cumple alcance.</x:v>
      </x:c>
    </x:row>
    <x:row r="30">
      <x:c r="A30" s="38" t="str">
        <x:v>PR-ADM-01</x:v>
      </x:c>
      <x:c r="B30" s="38" t="str">
        <x:v>Roles</x:v>
      </x:c>
      <x:c r="C30" s="38" t="str">
        <x:v>Seguridad</x:v>
      </x:c>
      <x:c r="D30" s="38" t="str">
        <x:v>Permisos visuales Administrador</x:v>
      </x:c>
      <x:c r="E30" s="38" t="str">
        <x:v>Login administrador</x:v>
      </x:c>
      <x:c r="F30" s="38" t="str">
        <x:v>Menú con usuarios, roles, integraciones, auditoría, reportes</x:v>
      </x:c>
      <x:c r="G30" s="38" t="str">
        <x:v>Aprobado</x:v>
      </x:c>
      <x:c r="H30" s="38" t="str">
        <x:v>Sidebar.tsx + AdminDashboard.tsx</x:v>
      </x:c>
      <x:c r="I30" s="38" t="str">
        <x:v>Módulos admin presentes.</x:v>
      </x:c>
    </x:row>
    <x:row r="31">
      <x:c r="A31" s="38" t="str">
        <x:v>PR-SEC-01</x:v>
      </x:c>
      <x:c r="B31" s="38" t="str">
        <x:v>Roles</x:v>
      </x:c>
      <x:c r="C31" s="38" t="str">
        <x:v>Seguridad</x:v>
      </x:c>
      <x:c r="D31" s="38" t="str">
        <x:v>Acceso sin usuario a sistemas externos</x:v>
      </x:c>
      <x:c r="E31" s="38" t="str">
        <x:v>Home → Ver sistemas externos sin login</x:v>
      </x:c>
      <x:c r="F31" s="38" t="str">
        <x:v>No debe mostrar navegación interna de administrador</x:v>
      </x:c>
      <x:c r="G31" s="38" t="str">
        <x:v>Observado</x:v>
      </x:c>
      <x:c r="H31" s="38" t="str">
        <x:v>HomePage.tsx + Sidebar.tsx</x:v>
      </x:c>
      <x:c r="I31" s="38" t="str">
        <x:v>Cuando currentUser es null, Sidebar cae por defecto en ADMIN_ITEMS. Corregir vista pública o forzar login.</x:v>
      </x:c>
    </x:row>
    <x:row r="32">
      <x:c r="A32" s="38" t="str">
        <x:v>PR-SEC-02</x:v>
      </x:c>
      <x:c r="B32" s="38" t="str">
        <x:v>Roles</x:v>
      </x:c>
      <x:c r="C32" s="38" t="str">
        <x:v>Seguridad</x:v>
      </x:c>
      <x:c r="D32" s="38" t="str">
        <x:v>Protección de pantallas internas</x:v>
      </x:c>
      <x:c r="E32" s="38" t="str">
        <x:v>Intentar navegar a pantalla interna sin sesión</x:v>
      </x:c>
      <x:c r="F32" s="38" t="str">
        <x:v>Debe redirigir a login o mostrar vista pública limitada</x:v>
      </x:c>
      <x:c r="G32" s="38" t="str">
        <x:v>Observado</x:v>
      </x:c>
      <x:c r="H32" s="38" t="str">
        <x:v>App.tsx</x:v>
      </x:c>
      <x:c r="I32" s="38" t="str">
        <x:v>No hay guard explícito de sesión para pantallas internas.</x:v>
      </x:c>
    </x:row>
    <x:row r="33">
      <x:c r="A33" s="38" t="str">
        <x:v>PU-01</x:v>
      </x:c>
      <x:c r="B33" s="38" t="str">
        <x:v>Usabilidad</x:v>
      </x:c>
      <x:c r="C33" s="38" t="str">
        <x:v>Usabilidad / interacción</x:v>
      </x:c>
      <x:c r="D33" s="38" t="str">
        <x:v>Claridad de la home</x:v>
      </x:c>
      <x:c r="E33" s="38" t="str">
        <x:v>Revisar home</x:v>
      </x:c>
      <x:c r="F33" s="38" t="str">
        <x:v>El propósito del sistema es claro</x:v>
      </x:c>
      <x:c r="G33" s="38" t="str">
        <x:v>Aprobado</x:v>
      </x:c>
      <x:c r="H33" s="38" t="str">
        <x:v>HomePage.tsx</x:v>
      </x:c>
      <x:c r="I33" s="38" t="str">
        <x:v>Texto e información contextual adecuados.</x:v>
      </x:c>
    </x:row>
    <x:row r="34">
      <x:c r="A34" s="38" t="str">
        <x:v>PU-02</x:v>
      </x:c>
      <x:c r="B34" s="38" t="str">
        <x:v>Usabilidad</x:v>
      </x:c>
      <x:c r="C34" s="38" t="str">
        <x:v>Usabilidad / interacción</x:v>
      </x:c>
      <x:c r="D34" s="38" t="str">
        <x:v>Consistencia visual Gobierno Chile</x:v>
      </x:c>
      <x:c r="E34" s="38" t="str">
        <x:v>Revisar paleta y componentes</x:v>
      </x:c>
      <x:c r="F34" s="38" t="str">
        <x:v>Colores institucionales coherentes</x:v>
      </x:c>
      <x:c r="G34" s="38" t="str">
        <x:v>Aprobado</x:v>
      </x:c>
      <x:c r="H34" s="38" t="str">
        <x:v>types.ts</x:v>
      </x:c>
      <x:c r="I34" s="38" t="str">
        <x:v>Paleta C incluye primary, secondary, tertiary, accent, neutral.</x:v>
      </x:c>
    </x:row>
    <x:row r="35">
      <x:c r="A35" s="38" t="str">
        <x:v>PU-03</x:v>
      </x:c>
      <x:c r="B35" s="38" t="str">
        <x:v>Usabilidad</x:v>
      </x:c>
      <x:c r="C35" s="38" t="str">
        <x:v>Usabilidad / interacción</x:v>
      </x:c>
      <x:c r="D35" s="38" t="str">
        <x:v>Breadcrumbs navegables</x:v>
      </x:c>
      <x:c r="E35" s="38" t="str">
        <x:v>Presionar breadcrumbs intermedios</x:v>
      </x:c>
      <x:c r="F35" s="38" t="str">
        <x:v>Deben navegar a su página</x:v>
      </x:c>
      <x:c r="G35" s="38" t="str">
        <x:v>Observado</x:v>
      </x:c>
      <x:c r="H35" s="38" t="str">
        <x:v>Header.tsx</x:v>
      </x:c>
      <x:c r="I35" s="38" t="str">
        <x:v>El cursor cambia, pero no existe onClick para crumb.page.</x:v>
      </x:c>
    </x:row>
    <x:row r="36">
      <x:c r="A36" s="38" t="str">
        <x:v>PU-04</x:v>
      </x:c>
      <x:c r="B36" s="38" t="str">
        <x:v>Usabilidad</x:v>
      </x:c>
      <x:c r="C36" s="38" t="str">
        <x:v>Usabilidad / interacción</x:v>
      </x:c>
      <x:c r="D36" s="38" t="str">
        <x:v>Footer con enlaces</x:v>
      </x:c>
      <x:c r="E36" s="38" t="str">
        <x:v>Presionar enlaces del footer</x:v>
      </x:c>
      <x:c r="F36" s="38" t="str">
        <x:v>Deben navegar o mostrar feedback</x:v>
      </x:c>
      <x:c r="G36" s="38" t="str">
        <x:v>Observado</x:v>
      </x:c>
      <x:c r="H36" s="38" t="str">
        <x:v>Footer.tsx</x:v>
      </x:c>
      <x:c r="I36" s="38" t="str">
        <x:v>Enlaces son spans sin acción real.</x:v>
      </x:c>
    </x:row>
    <x:row r="37">
      <x:c r="A37" s="38" t="str">
        <x:v>PU-05</x:v>
      </x:c>
      <x:c r="B37" s="38" t="str">
        <x:v>Usabilidad</x:v>
      </x:c>
      <x:c r="C37" s="38" t="str">
        <x:v>Usabilidad / interacción</x:v>
      </x:c>
      <x:c r="D37" s="38" t="str">
        <x:v>Feedback en acciones críticas</x:v>
      </x:c>
      <x:c r="E37" s="38" t="str">
        <x:v>Resolver/derivar alertas, exportar, consultar</x:v>
      </x:c>
      <x:c r="F37" s="38" t="str">
        <x:v>Debe mostrar confirmación visible</x:v>
      </x:c>
      <x:c r="G37" s="38" t="str">
        <x:v>Observado</x:v>
      </x:c>
      <x:c r="H37" s="38" t="str">
        <x:v>Alertas.tsx + Reportes.tsx</x:v>
      </x:c>
      <x:c r="I37" s="38" t="str">
        <x:v>Algunas acciones cambian estado, pero no hay toast/resumen de confirmación; export no hace nada.</x:v>
      </x:c>
    </x:row>
    <x:row r="38">
      <x:c r="A38" s="38" t="str">
        <x:v>PU-06</x:v>
      </x:c>
      <x:c r="B38" s="38" t="str">
        <x:v>Accesibilidad</x:v>
      </x:c>
      <x:c r="C38" s="38" t="str">
        <x:v>Usabilidad / accesibilidad</x:v>
      </x:c>
      <x:c r="D38" s="38" t="str">
        <x:v>Labels asociados a inputs</x:v>
      </x:c>
      <x:c r="E38" s="38" t="str">
        <x:v>Revisar campos de formularios</x:v>
      </x:c>
      <x:c r="F38" s="38" t="str">
        <x:v>label debe usar htmlFor asociado a id</x:v>
      </x:c>
      <x:c r="G38" s="38" t="str">
        <x:v>Observado</x:v>
      </x:c>
      <x:c r="H38" s="38" t="str">
        <x:v>LoginPage.tsx + NuevoExpediente.tsx</x:v>
      </x:c>
      <x:c r="I38" s="38" t="str">
        <x:v>Labels son visuales; asociación semántica incompleta.</x:v>
      </x:c>
    </x:row>
    <x:row r="39">
      <x:c r="A39" s="38" t="str">
        <x:v>PU-07</x:v>
      </x:c>
      <x:c r="B39" s="38" t="str">
        <x:v>Accesibilidad</x:v>
      </x:c>
      <x:c r="C39" s="38" t="str">
        <x:v>Usabilidad / accesibilidad</x:v>
      </x:c>
      <x:c r="D39" s="38" t="str">
        <x:v>Botones solo ícono</x:v>
      </x:c>
      <x:c r="E39" s="38" t="str">
        <x:v>Revisar campana, cerrar modal, mostrar clave</x:v>
      </x:c>
      <x:c r="F39" s="38" t="str">
        <x:v>Deben tener aria-label/title claro</x:v>
      </x:c>
      <x:c r="G39" s="38" t="str">
        <x:v>Observado</x:v>
      </x:c>
      <x:c r="H39" s="38" t="str">
        <x:v>Header.tsx, Alertas.tsx, LoginPage.tsx</x:v>
      </x:c>
      <x:c r="I39" s="38" t="str">
        <x:v>Algunos tienen title, otros no tienen aria-label.</x:v>
      </x:c>
    </x:row>
    <x:row r="40">
      <x:c r="A40" s="38" t="str">
        <x:v>PU-08</x:v>
      </x:c>
      <x:c r="B40" s="38" t="str">
        <x:v>Accesibilidad</x:v>
      </x:c>
      <x:c r="C40" s="38" t="str">
        <x:v>Usabilidad / accesibilidad</x:v>
      </x:c>
      <x:c r="D40" s="38" t="str">
        <x:v>Modales accesibles</x:v>
      </x:c>
      <x:c r="E40" s="38" t="str">
        <x:v>Abrir alerta/modal</x:v>
      </x:c>
      <x:c r="F40" s="38" t="str">
        <x:v>Debe tener role=dialog, aria-modal y manejo de foco</x:v>
      </x:c>
      <x:c r="G40" s="38" t="str">
        <x:v>Observado</x:v>
      </x:c>
      <x:c r="H40" s="38" t="str">
        <x:v>Alertas.tsx + NuevoExpediente.tsx</x:v>
      </x:c>
      <x:c r="I40" s="38" t="str">
        <x:v>No se detecta role=dialog ni gestión de foco.</x:v>
      </x:c>
    </x:row>
    <x:row r="41">
      <x:c r="A41" s="38" t="str">
        <x:v>PU-09</x:v>
      </x:c>
      <x:c r="B41" s="38" t="str">
        <x:v>Accesibilidad</x:v>
      </x:c>
      <x:c r="C41" s="38" t="str">
        <x:v>Usabilidad / accesibilidad</x:v>
      </x:c>
      <x:c r="D41" s="38" t="str">
        <x:v>Navegación con teclado</x:v>
      </x:c>
      <x:c r="E41" s="38" t="str">
        <x:v>Recorrer login y credenciales demo con Tab</x:v>
      </x:c>
      <x:c r="F41" s="38" t="str">
        <x:v>Elementos clickeables deben ser foco accesibles</x:v>
      </x:c>
      <x:c r="G41" s="38" t="str">
        <x:v>Observado</x:v>
      </x:c>
      <x:c r="H41" s="38" t="str">
        <x:v>LoginPage.tsx + Header.tsx</x:v>
      </x:c>
      <x:c r="I41" s="38" t="str">
        <x:v>Credenciales demo usan div onClick; marca/logo usa div onClick.</x:v>
      </x:c>
    </x:row>
    <x:row r="42">
      <x:c r="A42" s="38" t="str">
        <x:v>PU-10</x:v>
      </x:c>
      <x:c r="B42" s="38" t="str">
        <x:v>Accesibilidad</x:v>
      </x:c>
      <x:c r="C42" s="38" t="str">
        <x:v>Usabilidad / accesibilidad</x:v>
      </x:c>
      <x:c r="D42" s="38" t="str">
        <x:v>Contraste de color</x:v>
      </x:c>
      <x:c r="E42" s="38" t="str">
        <x:v>Revisar Lighthouse/axe</x:v>
      </x:c>
      <x:c r="F42" s="38" t="str">
        <x:v>Sin errores críticos de contraste</x:v>
      </x:c>
      <x:c r="G42" s="38" t="str">
        <x:v>Pendiente</x:v>
      </x:c>
      <x:c r="H42" s="38" t="str">
        <x:v>Requiere navegador/Lighthouse</x:v>
      </x:c>
      <x:c r="I42" s="38" t="str">
        <x:v>No ejecutado en esta revisión; debe medirse como evidencia EV3.</x:v>
      </x:c>
    </x:row>
    <x:row r="43">
      <x:c r="A43" s="38" t="str">
        <x:v>PU-11</x:v>
      </x:c>
      <x:c r="B43" s="38" t="str">
        <x:v>Compatibilidad</x:v>
      </x:c>
      <x:c r="C43" s="38" t="str">
        <x:v>Compatibilidad</x:v>
      </x:c>
      <x:c r="D43" s="38" t="str">
        <x:v>Responsive móvil/tablet</x:v>
      </x:c>
      <x:c r="E43" s="38" t="str">
        <x:v>Probar 390px, 768px y 1366px</x:v>
      </x:c>
      <x:c r="F43" s="38" t="str">
        <x:v>No se corta contenido ni sidebar</x:v>
      </x:c>
      <x:c r="G43" s="38" t="str">
        <x:v>Observado</x:v>
      </x:c>
      <x:c r="H43" s="38" t="str">
        <x:v>Layout.tsx + dashboards</x:v>
      </x:c>
      <x:c r="I43" s="38" t="str">
        <x:v>Sidebar fija de 240px y grids 4/5 columnas pueden romper móvil. No hay media queries propias.</x:v>
      </x:c>
    </x:row>
    <x:row r="44">
      <x:c r="A44" s="38" t="str">
        <x:v>PU-12</x:v>
      </x:c>
      <x:c r="B44" s="38" t="str">
        <x:v>Compatibilidad</x:v>
      </x:c>
      <x:c r="C44" s="38" t="str">
        <x:v>Compatibilidad</x:v>
      </x:c>
      <x:c r="D44" s="38" t="str">
        <x:v>Compatibilidad navegador</x:v>
      </x:c>
      <x:c r="E44" s="38" t="str">
        <x:v>Probar Chrome/Firefox/Edge</x:v>
      </x:c>
      <x:c r="F44" s="38" t="str">
        <x:v>Visualización correcta</x:v>
      </x:c>
      <x:c r="G44" s="38" t="str">
        <x:v>Pendiente</x:v>
      </x:c>
      <x:c r="H44" s="38" t="str">
        <x:v>Requiere navegador</x:v>
      </x:c>
      <x:c r="I44" s="38" t="str">
        <x:v>Planificado para ejecución manual.</x:v>
      </x:c>
    </x:row>
    <x:row r="45">
      <x:c r="A45" s="38" t="str">
        <x:v>PT-01</x:v>
      </x:c>
      <x:c r="B45" s="38" t="str">
        <x:v>Build</x:v>
      </x:c>
      <x:c r="C45" s="38" t="str">
        <x:v>Portabilidad / mantenibilidad</x:v>
      </x:c>
      <x:c r="D45" s="38" t="str">
        <x:v>Instalación de dependencias</x:v>
      </x:c>
      <x:c r="E45" s="38" t="str">
        <x:v>Ejecutar npm install</x:v>
      </x:c>
      <x:c r="F45" s="38" t="str">
        <x:v>Instala dependencias</x:v>
      </x:c>
      <x:c r="G45" s="38" t="str">
        <x:v>Aprobado</x:v>
      </x:c>
      <x:c r="H45" s="38" t="str">
        <x:v>npm_install.log</x:v>
      </x:c>
      <x:c r="I45" s="38" t="str">
        <x:v>Instalación finalizada correctamente.</x:v>
      </x:c>
    </x:row>
    <x:row r="46">
      <x:c r="A46" s="38" t="str">
        <x:v>PT-02</x:v>
      </x:c>
      <x:c r="B46" s="38" t="str">
        <x:v>Build</x:v>
      </x:c>
      <x:c r="C46" s="38" t="str">
        <x:v>Portabilidad / mantenibilidad</x:v>
      </x:c>
      <x:c r="D46" s="38" t="str">
        <x:v>Build productivo</x:v>
      </x:c>
      <x:c r="E46" s="38" t="str">
        <x:v>Ejecutar npm run build</x:v>
      </x:c>
      <x:c r="F46" s="38" t="str">
        <x:v>Compila sin errores</x:v>
      </x:c>
      <x:c r="G46" s="38" t="str">
        <x:v>Aprobado</x:v>
      </x:c>
      <x:c r="H46" s="38" t="str">
        <x:v>npm_build.log</x:v>
      </x:c>
      <x:c r="I46" s="38" t="str">
        <x:v>Build OK en 6.19s.</x:v>
      </x:c>
    </x:row>
    <x:row r="47">
      <x:c r="A47" s="38" t="str">
        <x:v>PT-03</x:v>
      </x:c>
      <x:c r="B47" s="38" t="str">
        <x:v>Performance</x:v>
      </x:c>
      <x:c r="C47" s="38" t="str">
        <x:v>Eficiencia de desempeño</x:v>
      </x:c>
      <x:c r="D47" s="38" t="str">
        <x:v>Tamaño del bundle</x:v>
      </x:c>
      <x:c r="E47" s="38" t="str">
        <x:v>Revisar salida de build</x:v>
      </x:c>
      <x:c r="F47" s="38" t="str">
        <x:v>Sin warning por chunk grande</x:v>
      </x:c>
      <x:c r="G47" s="38" t="str">
        <x:v>Observado</x:v>
      </x:c>
      <x:c r="H47" s="38" t="str">
        <x:v>npm_build.log</x:v>
      </x:c>
      <x:c r="I47" s="38" t="str">
        <x:v>Bundle JS 670.86 kB; Vite advierte chunk &gt;500 kB.</x:v>
      </x:c>
    </x:row>
    <x:row r="48">
      <x:c r="A48" s="38" t="str">
        <x:v>PT-04</x:v>
      </x:c>
      <x:c r="B48" s="38" t="str">
        <x:v>Performance</x:v>
      </x:c>
      <x:c r="C48" s="38" t="str">
        <x:v>Eficiencia de desempeño</x:v>
      </x:c>
      <x:c r="D48" s="38" t="str">
        <x:v>Lighthouse Performance</x:v>
      </x:c>
      <x:c r="E48" s="38" t="str">
        <x:v>Ejecutar Lighthouse</x:v>
      </x:c>
      <x:c r="F48" s="38" t="str">
        <x:v>Performance ≥80</x:v>
      </x:c>
      <x:c r="G48" s="38" t="str">
        <x:v>Pendiente</x:v>
      </x:c>
      <x:c r="H48" s="38" t="str">
        <x:v>Requiere navegador</x:v>
      </x:c>
      <x:c r="I48" s="38" t="str">
        <x:v>No ejecutado en entorno actual.</x:v>
      </x:c>
    </x:row>
    <x:row r="49">
      <x:c r="A49" s="38" t="str">
        <x:v>PT-05</x:v>
      </x:c>
      <x:c r="B49" s="38" t="str">
        <x:v>Seguridad</x:v>
      </x:c>
      <x:c r="C49" s="38" t="str">
        <x:v>Seguridad</x:v>
      </x:c>
      <x:c r="D49" s="38" t="str">
        <x:v>Campo contraseña oculto</x:v>
      </x:c>
      <x:c r="E49" s="38" t="str">
        <x:v>Revisar login</x:v>
      </x:c>
      <x:c r="F49" s="38" t="str">
        <x:v>input type=password por defecto</x:v>
      </x:c>
      <x:c r="G49" s="38" t="str">
        <x:v>Aprobado</x:v>
      </x:c>
      <x:c r="H49" s="38" t="str">
        <x:v>LoginPage.tsx</x:v>
      </x:c>
      <x:c r="I49" s="38" t="str">
        <x:v>Cumple, incluye toggle mostrar/ocultar.</x:v>
      </x:c>
    </x:row>
    <x:row r="50">
      <x:c r="A50" s="38" t="str">
        <x:v>PT-06</x:v>
      </x:c>
      <x:c r="B50" s="38" t="str">
        <x:v>Seguridad</x:v>
      </x:c>
      <x:c r="C50" s="38" t="str">
        <x:v>Seguridad</x:v>
      </x:c>
      <x:c r="D50" s="38" t="str">
        <x:v>Dependencias sin vulnerabilidades altas</x:v>
      </x:c>
      <x:c r="E50" s="38" t="str">
        <x:v>Ejecutar npm audit</x:v>
      </x:c>
      <x:c r="F50" s="38" t="str">
        <x:v>0 high/critical</x:v>
      </x:c>
      <x:c r="G50" s="38" t="str">
        <x:v>Observado</x:v>
      </x:c>
      <x:c r="H50" s="38" t="str">
        <x:v>npm_audit.json</x:v>
      </x:c>
      <x:c r="I50" s="38" t="str">
        <x:v>Se detectaron 2 high: react-router y vite.</x:v>
      </x:c>
    </x:row>
    <x:row r="51">
      <x:c r="A51" s="38" t="str">
        <x:v>PT-07</x:v>
      </x:c>
      <x:c r="B51" s="38" t="str">
        <x:v>Mantenibilidad</x:v>
      </x:c>
      <x:c r="C51" s="38" t="str">
        <x:v>Mantenibilidad</x:v>
      </x:c>
      <x:c r="D51" s="38" t="str">
        <x:v>Componentes reutilizables</x:v>
      </x:c>
      <x:c r="E51" s="38" t="str">
        <x:v>Revisar estructura</x:v>
      </x:c>
      <x:c r="F51" s="38" t="str">
        <x:v>Header, Sidebar, Layout, StatusTag y páginas separados</x:v>
      </x:c>
      <x:c r="G51" s="38" t="str">
        <x:v>Aprobado</x:v>
      </x:c>
      <x:c r="H51" s="38" t="str">
        <x:v>src/app/components</x:v>
      </x:c>
      <x:c r="I51" s="38" t="str">
        <x:v>Buena separación base.</x:v>
      </x:c>
    </x:row>
    <x:row r="52">
      <x:c r="A52" s="38" t="str">
        <x:v>PT-08</x:v>
      </x:c>
      <x:c r="B52" s="38" t="str">
        <x:v>Mantenibilidad</x:v>
      </x:c>
      <x:c r="C52" s="38" t="str">
        <x:v>Mantenibilidad</x:v>
      </x:c>
      <x:c r="D52" s="38" t="str">
        <x:v>Estilos centralizados</x:v>
      </x:c>
      <x:c r="E52" s="38" t="str">
        <x:v>Revisar uso de estilos</x:v>
      </x:c>
      <x:c r="F52" s="38" t="str">
        <x:v>Paleta y estilos reutilizables centralizados</x:v>
      </x:c>
      <x:c r="G52" s="38" t="str">
        <x:v>Observado</x:v>
      </x:c>
      <x:c r="H52" s="38" t="str">
        <x:v>types.ts + inline styles</x:v>
      </x:c>
      <x:c r="I52" s="38" t="str">
        <x:v>Paleta está centralizada, pero hay mucho estilo inline duplicado.</x:v>
      </x:c>
    </x:row>
    <x:row r="53">
      <x:c r="A53" s="38" t="str">
        <x:v>PT-09</x:v>
      </x:c>
      <x:c r="B53" s="38" t="str">
        <x:v>Mantenibilidad</x:v>
      </x:c>
      <x:c r="C53" s="38" t="str">
        <x:v>Mantenibilidad</x:v>
      </x:c>
      <x:c r="D53" s="38" t="str">
        <x:v>Scripts de calidad</x:v>
      </x:c>
      <x:c r="E53" s="38" t="str">
        <x:v>Revisar package.json</x:v>
      </x:c>
      <x:c r="F53" s="38" t="str">
        <x:v>Debe incluir lint/test opcionales</x:v>
      </x:c>
      <x:c r="G53" s="38" t="str">
        <x:v>Observado</x:v>
      </x:c>
      <x:c r="H53" s="38" t="str">
        <x:v>package.json</x:v>
      </x:c>
      <x:c r="I53" s="38" t="str">
        <x:v>Solo existen dev y build; agregar lint, preview y audit.</x:v>
      </x:c>
    </x:row>
    <x:row r="54">
      <x:c r="A54" s="38" t="str">
        <x:v>PT-10</x:v>
      </x:c>
      <x:c r="B54" s="38" t="str">
        <x:v>Portabilidad</x:v>
      </x:c>
      <x:c r="C54" s="38" t="str">
        <x:v>Portabilidad</x:v>
      </x:c>
      <x:c r="D54" s="38" t="str">
        <x:v>Lock file reproducible</x:v>
      </x:c>
      <x:c r="E54" s="38" t="str">
        <x:v>Revisar ZIP original</x:v>
      </x:c>
      <x:c r="F54" s="38" t="str">
        <x:v>Debe incluir package-lock/pnpm-lock/yarn.lock</x:v>
      </x:c>
      <x:c r="G54" s="38" t="str">
        <x:v>Observado</x:v>
      </x:c>
      <x:c r="H54" s="38" t="str">
        <x:v>ZIP original</x:v>
      </x:c>
      <x:c r="I54" s="38" t="str">
        <x:v>No se detectó lock file en el ZIP original.</x:v>
      </x:c>
    </x:row>
    <x:row r="55">
      <x:c r="A55" s="38" t="str">
        <x:v>PT-11</x:v>
      </x:c>
      <x:c r="B55" s="38" t="str">
        <x:v>Portabilidad</x:v>
      </x:c>
      <x:c r="C55" s="38" t="str">
        <x:v>Portabilidad</x:v>
      </x:c>
      <x:c r="D55" s="38" t="str">
        <x:v>README de ejecución</x:v>
      </x:c>
      <x:c r="E55" s="38" t="str">
        <x:v>Revisar README</x:v>
      </x:c>
      <x:c r="F55" s="38" t="str">
        <x:v>Debe explicar instalación, roles, versión y pruebas</x:v>
      </x:c>
      <x:c r="G55" s="38" t="str">
        <x:v>Observado</x:v>
      </x:c>
      <x:c r="H55" s="38" t="str">
        <x:v>README.md</x:v>
      </x:c>
      <x:c r="I55" s="38" t="str">
        <x:v>README es mínimo; falta guía EV3 y pruebas.</x:v>
      </x:c>
    </x:row>
    <x:row r="56">
      <x:c r="A56" s="38" t="str">
        <x:v>PT-12</x:v>
      </x:c>
      <x:c r="B56" s="38" t="str">
        <x:v>Fiabilidad</x:v>
      </x:c>
      <x:c r="C56" s="38" t="str">
        <x:v>Fiabilidad</x:v>
      </x:c>
      <x:c r="D56" s="38" t="str">
        <x:v>Sin errores críticos de consola</x:v>
      </x:c>
      <x:c r="E56" s="38" t="str">
        <x:v>Ejecutar navegación en navegador</x:v>
      </x:c>
      <x:c r="F56" s="38" t="str">
        <x:v>0 errores críticos</x:v>
      </x:c>
      <x:c r="G56" s="38" t="str">
        <x:v>Pendiente</x:v>
      </x:c>
      <x:c r="H56" s="38" t="str">
        <x:v>Requiere navegador</x:v>
      </x:c>
      <x:c r="I56" s="38" t="str">
        <x:v>Debe capturarse como evidencia.</x:v>
      </x:c>
    </x:row>
    <x:row r="57">
      <x:c r="A57" s="38" t="str">
        <x:v>PT-13</x:v>
      </x:c>
      <x:c r="B57" s="38" t="str">
        <x:v>Versionamiento</x:v>
      </x:c>
      <x:c r="C57" s="38" t="str">
        <x:v>Mantenibilidad</x:v>
      </x:c>
      <x:c r="D57" s="38" t="str">
        <x:v>Pantalla historial v1.0</x:v>
      </x:c>
      <x:c r="E57" s="38" t="str">
        <x:v>Abrir historial de versiones</x:v>
      </x:c>
      <x:c r="F57" s="38" t="str">
        <x:v>Debe mostrar versión, fecha, cambios y próximas versiones</x:v>
      </x:c>
      <x:c r="G57" s="38" t="str">
        <x:v>Aprobado</x:v>
      </x:c>
      <x:c r="H57" s="38" t="str">
        <x:v>VersionHistorial.tsx</x:v>
      </x:c>
      <x:c r="I57" s="38" t="str">
        <x:v>Pantalla implementada.</x:v>
      </x:c>
    </x:row>
    <x:row r="58">
      <x:c r="A58" s="38" t="str">
        <x:v>PT-14</x:v>
      </x:c>
      <x:c r="B58" s="38" t="str">
        <x:v>Versionamiento</x:v>
      </x:c>
      <x:c r="C58" s="38" t="str">
        <x:v>Mantenibilidad</x:v>
      </x:c>
      <x:c r="D58" s="38" t="str">
        <x:v>Tag Git de versión</x:v>
      </x:c>
      <x:c r="E58" s="38" t="str">
        <x:v>Revisar repo Git</x:v>
      </x:c>
      <x:c r="F58" s="38" t="str">
        <x:v>Debe existir tag v1.0 o release</x:v>
      </x:c>
      <x:c r="G58" s="38" t="str">
        <x:v>Pendiente</x:v>
      </x:c>
      <x:c r="H58" s="38" t="str">
        <x:v>Requiere repositorio Git</x:v>
      </x:c>
      <x:c r="I58" s="38" t="str">
        <x:v>No evaluable desde ZIP.</x:v>
      </x:c>
    </x:row>
    <x:row r="59">
      <x:c r="A59" s="38" t="str">
        <x:v>PT-15</x:v>
      </x:c>
      <x:c r="B59" s="38" t="str">
        <x:v>Versionamiento</x:v>
      </x:c>
      <x:c r="C59" s="38" t="str">
        <x:v>Mantenibilidad</x:v>
      </x:c>
      <x:c r="D59" s="38" t="str">
        <x:v>Changelog técnico</x:v>
      </x:c>
      <x:c r="E59" s="38" t="str">
        <x:v>Revisar archivos</x:v>
      </x:c>
      <x:c r="F59" s="38" t="str">
        <x:v>Debe existir CHANGELOG.md o registro equivalente</x:v>
      </x:c>
      <x:c r="G59" s="38" t="str">
        <x:v>Observado</x:v>
      </x:c>
      <x:c r="H59" s="38" t="str">
        <x:v>ZIP original</x:v>
      </x:c>
      <x:c r="I59" s="38" t="str">
        <x:v>Solo hay pantalla en UI; falta archivo de versionamiento.</x:v>
      </x:c>
    </x:row>
    <x:row r="60">
      <x:c r="A60" s="38" t="str">
        <x:v>ISO-AF-01</x:v>
      </x:c>
      <x:c r="B60" s="38" t="str">
        <x:v>ISO 25010</x:v>
      </x:c>
      <x:c r="C60" s="38" t="str">
        <x:v>Adecuación funcional</x:v>
      </x:c>
      <x:c r="D60" s="38" t="str">
        <x:v>Cobertura de casos de uso EV2</x:v>
      </x:c>
      <x:c r="E60" s="38" t="str">
        <x:v>Comparar CU-01 a CU-06/RF09/RF10</x:v>
      </x:c>
      <x:c r="F60" s="38" t="str">
        <x:v>Todos representados</x:v>
      </x:c>
      <x:c r="G60" s="38" t="str">
        <x:v>Aprobado</x:v>
      </x:c>
      <x:c r="H60" s="38" t="str">
        <x:v>Pages + types</x:v>
      </x:c>
      <x:c r="I60" s="38" t="str">
        <x:v>Cobertura alta.</x:v>
      </x:c>
    </x:row>
    <x:row r="61">
      <x:c r="A61" s="38" t="str">
        <x:v>ISO-US-01</x:v>
      </x:c>
      <x:c r="B61" s="38" t="str">
        <x:v>ISO 25010</x:v>
      </x:c>
      <x:c r="C61" s="38" t="str">
        <x:v>Usabilidad</x:v>
      </x:c>
      <x:c r="D61" s="38" t="str">
        <x:v>Auto-descriptividad del flujo</x:v>
      </x:c>
      <x:c r="E61" s="38" t="str">
        <x:v>Recorrer wizard</x:v>
      </x:c>
      <x:c r="F61" s="38" t="str">
        <x:v>Usuario comprende paso actual y siguiente acción</x:v>
      </x:c>
      <x:c r="G61" s="38" t="str">
        <x:v>Aprobado</x:v>
      </x:c>
      <x:c r="H61" s="38" t="str">
        <x:v>NuevoExpediente.tsx</x:v>
      </x:c>
      <x:c r="I61" s="38" t="str">
        <x:v>Wizard de 8 pasos con títulos CU.</x:v>
      </x:c>
    </x:row>
    <x:row r="62">
      <x:c r="A62" s="38" t="str">
        <x:v>ISO-SG-01</x:v>
      </x:c>
      <x:c r="B62" s="38" t="str">
        <x:v>ISO 25010</x:v>
      </x:c>
      <x:c r="C62" s="38" t="str">
        <x:v>Seguridad</x:v>
      </x:c>
      <x:c r="D62" s="38" t="str">
        <x:v>Datos sensibles en consola</x:v>
      </x:c>
      <x:c r="E62" s="38" t="str">
        <x:v>Revisar console.log / credenciales</x:v>
      </x:c>
      <x:c r="F62" s="38" t="str">
        <x:v>No imprimir claves en consola</x:v>
      </x:c>
      <x:c r="G62" s="38" t="str">
        <x:v>Aprobado</x:v>
      </x:c>
      <x:c r="H62" s="38" t="str">
        <x:v>Búsqueda estática</x:v>
      </x:c>
      <x:c r="I62" s="38" t="str">
        <x:v>No se detectó console.log con claves.</x:v>
      </x:c>
    </x:row>
    <x:row r="63">
      <x:c r="A63" s="38" t="str">
        <x:v>ISO-PT-01</x:v>
      </x:c>
      <x:c r="B63" s="38" t="str">
        <x:v>ISO 25010</x:v>
      </x:c>
      <x:c r="C63" s="38" t="str">
        <x:v>Portabilidad</x:v>
      </x:c>
      <x:c r="D63" s="38" t="str">
        <x:v>Dependencia de rutas absolutas</x:v>
      </x:c>
      <x:c r="E63" s="38" t="str">
        <x:v>Revisar código</x:v>
      </x:c>
      <x:c r="F63" s="38" t="str">
        <x:v>No usar rutas locales del equipo</x:v>
      </x:c>
      <x:c r="G63" s="38" t="str">
        <x:v>Aprobado</x:v>
      </x:c>
      <x:c r="H63" s="38" t="str">
        <x:v>Búsqueda estática</x:v>
      </x:c>
      <x:c r="I63" s="38" t="str">
        <x:v>No se detectaron rutas locales absolutas.</x:v>
      </x:c>
    </x:row>
    <x:row r="64">
      <x:c r="A64" s="38" t="str">
        <x:v>ISO-FI-01</x:v>
      </x:c>
      <x:c r="B64" s="38" t="str">
        <x:v>ISO 25010</x:v>
      </x:c>
      <x:c r="C64" s="38" t="str">
        <x:v>Fiabilidad</x:v>
      </x:c>
      <x:c r="D64" s="38" t="str">
        <x:v>Resultado reproducible</x:v>
      </x:c>
      <x:c r="E64" s="38" t="str">
        <x:v>Ejecutar validaciones externas</x:v>
      </x:c>
      <x:c r="F64" s="38" t="str">
        <x:v>Mismo input debe permitir misma evidencia</x:v>
      </x:c>
      <x:c r="G64" s="38" t="str">
        <x:v>Observado</x:v>
      </x:c>
      <x:c r="H64" s="38" t="str">
        <x:v>NuevoExpediente.tsx</x:v>
      </x:c>
      <x:c r="I64" s="38" t="str">
        <x:v>Math.random impide reproducibilidad exacta.</x:v>
      </x:c>
    </x:row>
  </x:sheetData>
  <x:mergeCells>
    <x:mergeCell ref="A1:I1"/>
    <x:mergeCell ref="A2:I2"/>
  </x:mergeCells>
  <x:conditionalFormatting sqref="G5:G64">
    <x:cfRule type="expression" dxfId="0" priority="1">
      <x:formula>G5="Aprobado"</x:formula>
    </x:cfRule>
    <x:cfRule type="expression" dxfId="1" priority="2">
      <x:formula>G5="Observado"</x:formula>
    </x:cfRule>
    <x:cfRule type="expression" dxfId="2" priority="3">
      <x:formula>G5="Pendiente"</x:formula>
    </x:cfRule>
    <x:cfRule type="expression" dxfId="3" priority="4">
      <x:formula>G5="Rechazado"</x:formula>
    </x:cfRule>
  </x:conditionalFormatting>
  <x:dataValidations count="1">
    <x:dataValidation type="list" sqref="G5:G64">
      <x:formula1>"Aprobado,Observado,Pendiente,No ejecutado,Rechazado"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bee2982934d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4" hidden="0" customWidth="1"/>
    <x:col min="5" max="5" width="56" hidden="0" customWidth="1"/>
  </x:cols>
  <x:sheetData>
    <x:row r="1" ht="30" customHeight="1">
      <x:c r="A1" s="48" t="str">
        <x:v>Matriz de trazabilidad requisito / caso de prueba</x:v>
      </x:c>
      <x:c r="B1" s="49" t="str"/>
      <x:c r="C1" s="49" t="str"/>
      <x:c r="D1" s="49" t="str"/>
      <x:c r="E1" s="49" t="str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Relación entre EV2 y pruebas EV3</x:v>
      </x:c>
      <x:c r="B2" t="str"/>
      <x:c r="C2" t="str"/>
      <x:c r="D2" t="str"/>
      <x:c r="E2" t="str"/>
    </x:row>
    <x:row r="4">
      <x:c r="A4" s="27" t="str">
        <x:v>Requisito / CU</x:v>
      </x:c>
      <x:c r="B4" s="27" t="str">
        <x:v>Descripción</x:v>
      </x:c>
      <x:c r="C4" s="27" t="str">
        <x:v>Pruebas asociadas</x:v>
      </x:c>
      <x:c r="D4" s="27" t="str">
        <x:v>Estado</x:v>
      </x:c>
      <x:c r="E4" s="27" t="str">
        <x:v>Observación</x:v>
      </x:c>
    </x:row>
    <x:row r="5">
      <x:c r="A5" s="38" t="str">
        <x:v>RF01 / CU-01</x:v>
      </x:c>
      <x:c r="B5" s="38" t="str">
        <x:v>Iniciar sesión y cargar perfil</x:v>
      </x:c>
      <x:c r="C5" s="38" t="str">
        <x:v>PF-02, PF-03, PF-04, PF-05, PF-06, PT-05</x:v>
      </x:c>
      <x:c r="D5" s="38" t="str">
        <x:v>Aprobado</x:v>
      </x:c>
      <x:c r="E5" s="38" t="str">
        <x:v>Login implementado con roles demo y carga visual.</x:v>
      </x:c>
    </x:row>
    <x:row r="6">
      <x:c r="A6" s="38" t="str">
        <x:v>RF02 / CU-02</x:v>
      </x:c>
      <x:c r="B6" s="38" t="str">
        <x:v>Registrar o consultar expediente de viajero</x:v>
      </x:c>
      <x:c r="C6" s="38" t="str">
        <x:v>PF-08, PF-09</x:v>
      </x:c>
      <x:c r="D6" s="38" t="str">
        <x:v>Aprobado</x:v>
      </x:c>
      <x:c r="E6" s="38" t="str">
        <x:v>Formulario de expediente y navegación a wizard.</x:v>
      </x:c>
    </x:row>
    <x:row r="7">
      <x:c r="A7" s="38" t="str">
        <x:v>RF03 / CU-03</x:v>
      </x:c>
      <x:c r="B7" s="38" t="str">
        <x:v>Validar documentación de menor de edad</x:v>
      </x:c>
      <x:c r="C7" s="38" t="str">
        <x:v>PF-10, PF-11</x:v>
      </x:c>
      <x:c r="D7" s="38" t="str">
        <x:v>Aprobado</x:v>
      </x:c>
      <x:c r="E7" s="38" t="str">
        <x:v>Validación documental y alerta por falta de autorización.</x:v>
      </x:c>
    </x:row>
    <x:row r="8">
      <x:c r="A8" s="38" t="str">
        <x:v>RF04 / CU-04</x:v>
      </x:c>
      <x:c r="B8" s="38" t="str">
        <x:v>Registrar y validar vehículo motorizado</x:v>
      </x:c>
      <x:c r="C8" s="38" t="str">
        <x:v>PF-12, PF-13</x:v>
      </x:c>
      <x:c r="D8" s="38" t="str">
        <x:v>Aprobado</x:v>
      </x:c>
      <x:c r="E8" s="38" t="str">
        <x:v>Formulario vehicular e inconsistencia generan RF09.</x:v>
      </x:c>
    </x:row>
    <x:row r="9">
      <x:c r="A9" s="38" t="str">
        <x:v>RF05</x:v>
      </x:c>
      <x:c r="B9" s="38" t="str">
        <x:v>Consultar expediente de viajero</x:v>
      </x:c>
      <x:c r="C9" s="38" t="str">
        <x:v>PF-07, PF-08</x:v>
      </x:c>
      <x:c r="D9" s="38" t="str">
        <x:v>Aprobado</x:v>
      </x:c>
      <x:c r="E9" s="38" t="str">
        <x:v>Tabla de expedientes y acción ver expediente.</x:v>
      </x:c>
    </x:row>
    <x:row r="10">
      <x:c r="A10" s="38" t="str">
        <x:v>RF06 / CU-05</x:v>
      </x:c>
      <x:c r="B10" s="38" t="str">
        <x:v>Validación externa SAG</x:v>
      </x:c>
      <x:c r="C10" s="38" t="str">
        <x:v>PF-14</x:v>
      </x:c>
      <x:c r="D10" s="38" t="str">
        <x:v>Observado</x:v>
      </x:c>
      <x:c r="E10" s="38" t="str">
        <x:v>Presente, pero simulación aleatoria.</x:v>
      </x:c>
    </x:row>
    <x:row r="11">
      <x:c r="A11" s="38" t="str">
        <x:v>RF07 / CU-05</x:v>
      </x:c>
      <x:c r="B11" s="38" t="str">
        <x:v>Validación externa PDI</x:v>
      </x:c>
      <x:c r="C11" s="38" t="str">
        <x:v>PF-15</x:v>
      </x:c>
      <x:c r="D11" s="38" t="str">
        <x:v>Observado</x:v>
      </x:c>
      <x:c r="E11" s="38" t="str">
        <x:v>Presente, pero simulación aleatoria.</x:v>
      </x:c>
    </x:row>
    <x:row r="12">
      <x:c r="A12" s="38" t="str">
        <x:v>RF08 / CU-05</x:v>
      </x:c>
      <x:c r="B12" s="38" t="str">
        <x:v>Validación Aduana Limítrofe</x:v>
      </x:c>
      <x:c r="C12" s="38" t="str">
        <x:v>PF-16</x:v>
      </x:c>
      <x:c r="D12" s="38" t="str">
        <x:v>Observado</x:v>
      </x:c>
      <x:c r="E12" s="38" t="str">
        <x:v>Presente, pero simulación aleatoria.</x:v>
      </x:c>
    </x:row>
    <x:row r="13">
      <x:c r="A13" s="38" t="str">
        <x:v>RF09</x:v>
      </x:c>
      <x:c r="B13" s="38" t="str">
        <x:v>Gestionar alertas y observaciones</x:v>
      </x:c>
      <x:c r="C13" s="38" t="str">
        <x:v>PF-11, PF-13, PF-17, PF-18, PF-19</x:v>
      </x:c>
      <x:c r="D13" s="38" t="str">
        <x:v>Aprobado</x:v>
      </x:c>
      <x:c r="E13" s="38" t="str">
        <x:v>Pantalla transversal y modal de detalle.</x:v>
      </x:c>
    </x:row>
    <x:row r="14">
      <x:c r="A14" s="38" t="str">
        <x:v>RF10 / CU-06</x:v>
      </x:c>
      <x:c r="B14" s="38" t="str">
        <x:v>Reportes operativos y estadísticos</x:v>
      </x:c>
      <x:c r="C14" s="38" t="str">
        <x:v>PF-21, PF-22</x:v>
      </x:c>
      <x:c r="D14" s="38" t="str">
        <x:v>Observado</x:v>
      </x:c>
      <x:c r="E14" s="38" t="str">
        <x:v>Reportes visibles, exportación sin acción.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c7451be6ccd4f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56" hidden="0" customWidth="1"/>
    <x:col min="5" max="5" width="18" hidden="0" customWidth="1"/>
    <x:col min="6" max="6" width="56" hidden="0" customWidth="1"/>
    <x:col min="7" max="7" width="14" hidden="0" customWidth="1"/>
  </x:cols>
  <x:sheetData>
    <x:row r="1" ht="30" customHeight="1">
      <x:c r="A1" s="48" t="str">
        <x:v>Registro de hallazgos y defectos</x:v>
      </x:c>
      <x:c r="B1" s="49" t="str"/>
      <x:c r="C1" s="49" t="str"/>
      <x:c r="D1" s="49" t="str"/>
      <x:c r="E1" s="49" t="str"/>
      <x:c r="F1" s="49" t="str"/>
      <x:c r="G1" s="49" t="str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Base para correcciones v1.1</x:v>
      </x:c>
      <x:c r="B2" t="str"/>
      <x:c r="C2" t="str"/>
      <x:c r="D2" t="str"/>
      <x:c r="E2" t="str"/>
      <x:c r="F2" t="str"/>
      <x:c r="G2" t="str"/>
    </x:row>
    <x:row r="4">
      <x:c r="A4" s="27" t="str">
        <x:v>ID defecto</x:v>
      </x:c>
      <x:c r="B4" s="27" t="str">
        <x:v>Categoría</x:v>
      </x:c>
      <x:c r="C4" s="27" t="str">
        <x:v>Severidad</x:v>
      </x:c>
      <x:c r="D4" s="27" t="str">
        <x:v>Descripción</x:v>
      </x:c>
      <x:c r="E4" s="27" t="str">
        <x:v>Caso asociado</x:v>
      </x:c>
      <x:c r="F4" s="27" t="str">
        <x:v>Corrección recomendada</x:v>
      </x:c>
      <x:c r="G4" s="27" t="str">
        <x:v>Estado</x:v>
      </x:c>
    </x:row>
    <x:row r="5">
      <x:c r="A5" s="38" t="str">
        <x:v>DEF-001</x:v>
      </x:c>
      <x:c r="B5" s="38" t="str">
        <x:v>Seguridad</x:v>
      </x:c>
      <x:c r="C5" s="38" t="str">
        <x:v>Alta</x:v>
      </x:c>
      <x:c r="D5" s="38" t="str">
        <x:v>Usuario no autenticado puede navegar desde Home a Sistemas Externos y ver Sidebar de administrador.</x:v>
      </x:c>
      <x:c r="E5" s="38" t="str">
        <x:v>PR-SEC-01</x:v>
      </x:c>
      <x:c r="F5" s="38" t="str">
        <x:v>Crear vista pública sin sidebar o exigir login antes de ingresar a módulos internos.</x:v>
      </x:c>
      <x:c r="G5" s="38" t="str">
        <x:v>Abierto</x:v>
      </x:c>
    </x:row>
    <x:row r="6">
      <x:c r="A6" s="38" t="str">
        <x:v>DEF-002</x:v>
      </x:c>
      <x:c r="B6" s="38" t="str">
        <x:v>Seguridad</x:v>
      </x:c>
      <x:c r="C6" s="38" t="str">
        <x:v>Alta</x:v>
      </x:c>
      <x:c r="D6" s="38" t="str">
        <x:v>npm audit reporta 2 vulnerabilidades altas en react-router y vite.</x:v>
      </x:c>
      <x:c r="E6" s="38" t="str">
        <x:v>PT-06</x:v>
      </x:c>
      <x:c r="F6" s="38" t="str">
        <x:v>Actualizar react-router a &gt;=7.18.0 y vite a &gt;=6.4.3; ejecutar npm audit nuevamente.</x:v>
      </x:c>
      <x:c r="G6" s="38" t="str">
        <x:v>Abierto</x:v>
      </x:c>
    </x:row>
    <x:row r="7">
      <x:c r="A7" s="38" t="str">
        <x:v>DEF-003</x:v>
      </x:c>
      <x:c r="B7" s="38" t="str">
        <x:v>Compatibilidad</x:v>
      </x:c>
      <x:c r="C7" s="38" t="str">
        <x:v>Media</x:v>
      </x:c>
      <x:c r="D7" s="38" t="str">
        <x:v>Layout usa Sidebar fija y grids 4/5 columnas; no hay media queries propias.</x:v>
      </x:c>
      <x:c r="E7" s="38" t="str">
        <x:v>PU-11</x:v>
      </x:c>
      <x:c r="F7" s="38" t="str">
        <x:v>Agregar diseño responsive: menú colapsable, grids auto-fit y breakpoints móvil/tablet.</x:v>
      </x:c>
      <x:c r="G7" s="38" t="str">
        <x:v>Abierto</x:v>
      </x:c>
    </x:row>
    <x:row r="8">
      <x:c r="A8" s="38" t="str">
        <x:v>DEF-004</x:v>
      </x:c>
      <x:c r="B8" s="38" t="str">
        <x:v>Accesibilidad</x:v>
      </x:c>
      <x:c r="C8" s="38" t="str">
        <x:v>Media</x:v>
      </x:c>
      <x:c r="D8" s="38" t="str">
        <x:v>Inputs y labels no están completamente asociados con id/htmlFor.</x:v>
      </x:c>
      <x:c r="E8" s="38" t="str">
        <x:v>PU-06</x:v>
      </x:c>
      <x:c r="F8" s="38" t="str">
        <x:v>Asignar id único a cada input/select y htmlFor en labels.</x:v>
      </x:c>
      <x:c r="G8" s="38" t="str">
        <x:v>Abierto</x:v>
      </x:c>
    </x:row>
    <x:row r="9">
      <x:c r="A9" s="38" t="str">
        <x:v>DEF-005</x:v>
      </x:c>
      <x:c r="B9" s="38" t="str">
        <x:v>Accesibilidad</x:v>
      </x:c>
      <x:c r="C9" s="38" t="str">
        <x:v>Media</x:v>
      </x:c>
      <x:c r="D9" s="38" t="str">
        <x:v>Modales no tienen role=dialog, aria-modal ni foco gestionado.</x:v>
      </x:c>
      <x:c r="E9" s="38" t="str">
        <x:v>PU-08</x:v>
      </x:c>
      <x:c r="F9" s="38" t="str">
        <x:v>Usar Dialog accesible o agregar role, aria-modal, foco inicial y cierre con Escape.</x:v>
      </x:c>
      <x:c r="G9" s="38" t="str">
        <x:v>Abierto</x:v>
      </x:c>
    </x:row>
    <x:row r="10">
      <x:c r="A10" s="38" t="str">
        <x:v>DEF-006</x:v>
      </x:c>
      <x:c r="B10" s="38" t="str">
        <x:v>Usabilidad</x:v>
      </x:c>
      <x:c r="C10" s="38" t="str">
        <x:v>Media</x:v>
      </x:c>
      <x:c r="D10" s="38" t="str">
        <x:v>Breadcrumbs y footer parecen clickeables pero no ejecutan navegación real.</x:v>
      </x:c>
      <x:c r="E10" s="38" t="str">
        <x:v>PU-03, PU-04</x:v>
      </x:c>
      <x:c r="F10" s="38" t="str">
        <x:v>Agregar onClick real o quitar apariencia de link si son informativos.</x:v>
      </x:c>
      <x:c r="G10" s="38" t="str">
        <x:v>Abierto</x:v>
      </x:c>
    </x:row>
    <x:row r="11">
      <x:c r="A11" s="38" t="str">
        <x:v>DEF-007</x:v>
      </x:c>
      <x:c r="B11" s="38" t="str">
        <x:v>Fiabilidad</x:v>
      </x:c>
      <x:c r="C11" s="38" t="str">
        <x:v>Media</x:v>
      </x:c>
      <x:c r="D11" s="38" t="str">
        <x:v>Validaciones externas usan Math.random; evidencia de prueba no es reproducible.</x:v>
      </x:c>
      <x:c r="E11" s="38" t="str">
        <x:v>PF-14 a PF-16</x:v>
      </x:c>
      <x:c r="F11" s="38" t="str">
        <x:v>Cambiar por resultados determinísticos seleccionables: aprobado, observado, error.</x:v>
      </x:c>
      <x:c r="G11" s="38" t="str">
        <x:v>Abierto</x:v>
      </x:c>
    </x:row>
    <x:row r="12">
      <x:c r="A12" s="38" t="str">
        <x:v>DEF-008</x:v>
      </x:c>
      <x:c r="B12" s="38" t="str">
        <x:v>Funcionalidad</x:v>
      </x:c>
      <x:c r="C12" s="38" t="str">
        <x:v>Media</x:v>
      </x:c>
      <x:c r="D12" s="38" t="str">
        <x:v>Botones Exportar PDF/Excel/Descargar no tienen acción o feedback.</x:v>
      </x:c>
      <x:c r="E12" s="38" t="str">
        <x:v>PF-22</x:v>
      </x:c>
      <x:c r="F12" s="38" t="str">
        <x:v>Agregar modal/toast de descarga simulada y estado de generación.</x:v>
      </x:c>
      <x:c r="G12" s="38" t="str">
        <x:v>Abierto</x:v>
      </x:c>
    </x:row>
    <x:row r="13">
      <x:c r="A13" s="38" t="str">
        <x:v>DEF-009</x:v>
      </x:c>
      <x:c r="B13" s="38" t="str">
        <x:v>Mantenibilidad</x:v>
      </x:c>
      <x:c r="C13" s="38" t="str">
        <x:v>Media</x:v>
      </x:c>
      <x:c r="D13" s="38" t="str">
        <x:v>README mínimo; no describe roles, instalación, pruebas ni versionamiento EV3.</x:v>
      </x:c>
      <x:c r="E13" s="38" t="str">
        <x:v>PT-11</x:v>
      </x:c>
      <x:c r="F13" s="38" t="str">
        <x:v>Crear README con instalación, credenciales demo, scripts, pruebas ISO y versionamiento.</x:v>
      </x:c>
      <x:c r="G13" s="38" t="str">
        <x:v>Abierto</x:v>
      </x:c>
    </x:row>
    <x:row r="14">
      <x:c r="A14" s="38" t="str">
        <x:v>DEF-010</x:v>
      </x:c>
      <x:c r="B14" s="38" t="str">
        <x:v>Mantenibilidad</x:v>
      </x:c>
      <x:c r="C14" s="38" t="str">
        <x:v>Baja</x:v>
      </x:c>
      <x:c r="D14" s="38" t="str">
        <x:v>Uso extensivo de estilos inline duplicados.</x:v>
      </x:c>
      <x:c r="E14" s="38" t="str">
        <x:v>PT-08</x:v>
      </x:c>
      <x:c r="F14" s="38" t="str">
        <x:v>Extraer componentes/estilos comunes: Button, Card, FormField, Table, Modal.</x:v>
      </x:c>
      <x:c r="G14" s="38" t="str">
        <x:v>Abierto</x:v>
      </x:c>
    </x:row>
    <x:row r="15">
      <x:c r="A15" s="38" t="str">
        <x:v>DEF-011</x:v>
      </x:c>
      <x:c r="B15" s="38" t="str">
        <x:v>Portabilidad</x:v>
      </x:c>
      <x:c r="C15" s="38" t="str">
        <x:v>Media</x:v>
      </x:c>
      <x:c r="D15" s="38" t="str">
        <x:v>ZIP original no incluye lock file reproducible.</x:v>
      </x:c>
      <x:c r="E15" s="38" t="str">
        <x:v>PT-10</x:v>
      </x:c>
      <x:c r="F15" s="38" t="str">
        <x:v>Agregar package-lock.json o pnpm-lock.yaml al repositorio.</x:v>
      </x:c>
      <x:c r="G15" s="38" t="str">
        <x:v>Abierto</x:v>
      </x:c>
    </x:row>
    <x:row r="16">
      <x:c r="A16" s="38" t="str">
        <x:v>DEF-012</x:v>
      </x:c>
      <x:c r="B16" s="38" t="str">
        <x:v>Eficiencia</x:v>
      </x:c>
      <x:c r="C16" s="38" t="str">
        <x:v>Media</x:v>
      </x:c>
      <x:c r="D16" s="38" t="str">
        <x:v>Bundle JS principal supera 500 kB y genera warning de Vite.</x:v>
      </x:c>
      <x:c r="E16" s="38" t="str">
        <x:v>PT-03</x:v>
      </x:c>
      <x:c r="F16" s="38" t="str">
        <x:v>Aplicar code splitting/dynamic import para páginas y gráficos.</x:v>
      </x:c>
      <x:c r="G16" s="38" t="str">
        <x:v>Abierto</x:v>
      </x:c>
    </x:row>
    <x:row r="17">
      <x:c r="A17" s="38" t="str">
        <x:v>DEF-013</x:v>
      </x:c>
      <x:c r="B17" s="38" t="str">
        <x:v>Versionamiento</x:v>
      </x:c>
      <x:c r="C17" s="38" t="str">
        <x:v>Baja</x:v>
      </x:c>
      <x:c r="D17" s="38" t="str">
        <x:v>No se verificó tag Git v1.0 ni CHANGELOG.md en el ZIP.</x:v>
      </x:c>
      <x:c r="E17" s="38" t="str">
        <x:v>PT-14/PT-15</x:v>
      </x:c>
      <x:c r="F17" s="38" t="str">
        <x:v>Crear tag v1.0 y CHANGELOG.md; preparar v1.1 con correcciones ISO.</x:v>
      </x:c>
      <x:c r="G17" s="38" t="str">
        <x:v>Abierto</x:v>
      </x:c>
    </x:row>
  </x:sheetData>
  <x:mergeCells>
    <x:mergeCell ref="A1:G1"/>
    <x:mergeCell ref="A2:G2"/>
  </x:mergeCells>
  <x:conditionalFormatting sqref="C5:C17">
    <x:cfRule type="expression" dxfId="4" priority="1">
      <x:formula>C5="Alta"</x:formula>
    </x:cfRule>
    <x:cfRule type="expression" dxfId="5" priority="2">
      <x:formula>C5="Media"</x:formula>
    </x:cfRule>
    <x:cfRule type="expression" dxfId="6" priority="3">
      <x:formula>C5="Baja"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5e250179d240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60" hidden="0" customWidth="1"/>
    <x:col min="5" max="5" width="42" hidden="0" customWidth="1"/>
  </x:cols>
  <x:sheetData>
    <x:row r="1" ht="30" customHeight="1">
      <x:c r="A1" s="48" t="str">
        <x:v>Evidencias de evaluación preliminar</x:v>
      </x:c>
      <x:c r="B1" s="49" t="str"/>
      <x:c r="C1" s="49" t="str"/>
      <x:c r="D1" s="49" t="str"/>
      <x:c r="E1" s="49" t="str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Resultados obtenidos desde revisión local del ZIP</x:v>
      </x:c>
      <x:c r="B2" t="str"/>
      <x:c r="C2" t="str"/>
      <x:c r="D2" t="str"/>
      <x:c r="E2" t="str"/>
    </x:row>
    <x:row r="4">
      <x:c r="A4" s="27" t="str">
        <x:v>ID evidencia</x:v>
      </x:c>
      <x:c r="B4" s="27" t="str">
        <x:v>Actividad</x:v>
      </x:c>
      <x:c r="C4" s="27" t="str">
        <x:v>Estado</x:v>
      </x:c>
      <x:c r="D4" s="27" t="str">
        <x:v>Descripción</x:v>
      </x:c>
      <x:c r="E4" s="27" t="str">
        <x:v>Archivo / Fuente</x:v>
      </x:c>
    </x:row>
    <x:row r="5">
      <x:c r="A5" s="38" t="str">
        <x:v>EVD-001</x:v>
      </x:c>
      <x:c r="B5" s="38" t="str">
        <x:v>npm install</x:v>
      </x:c>
      <x:c r="C5" s="38" t="str">
        <x:v>Aprobado</x:v>
      </x:c>
      <x:c r="D5" s="38" t="str">
        <x:v>Instalación completada, 285 paquetes agregados.</x:v>
      </x:c>
      <x:c r="E5" s="38" t="str">
        <x:v>/mnt/data/npm_install.log</x:v>
      </x:c>
    </x:row>
    <x:row r="6">
      <x:c r="A6" s="38" t="str">
        <x:v>EVD-002</x:v>
      </x:c>
      <x:c r="B6" s="38" t="str">
        <x:v>npm run build</x:v>
      </x:c>
      <x:c r="C6" s="38" t="str">
        <x:v>Aprobado</x:v>
      </x:c>
      <x:c r="D6" s="38" t="str">
        <x:v>Build Vite exitoso en 6.19s.</x:v>
      </x:c>
      <x:c r="E6" s="38" t="str">
        <x:v>/mnt/data/npm_build.log</x:v>
      </x:c>
    </x:row>
    <x:row r="7">
      <x:c r="A7" s="38" t="str">
        <x:v>EVD-003</x:v>
      </x:c>
      <x:c r="B7" s="38" t="str">
        <x:v>Bundle JS</x:v>
      </x:c>
      <x:c r="C7" s="38" t="str">
        <x:v>Observado</x:v>
      </x:c>
      <x:c r="D7" s="38" t="str">
        <x:v>JS principal 670.86 kB; warning chunk &gt;500 kB.</x:v>
      </x:c>
      <x:c r="E7" s="38" t="str">
        <x:v>/mnt/data/npm_build.log</x:v>
      </x:c>
    </x:row>
    <x:row r="8">
      <x:c r="A8" s="38" t="str">
        <x:v>EVD-004</x:v>
      </x:c>
      <x:c r="B8" s="38" t="str">
        <x:v>npm audit</x:v>
      </x:c>
      <x:c r="C8" s="38" t="str">
        <x:v>Observado</x:v>
      </x:c>
      <x:c r="D8" s="38" t="str">
        <x:v>2 vulnerabilidades altas, 0 críticas.</x:v>
      </x:c>
      <x:c r="E8" s="38" t="str">
        <x:v>/mnt/data/npm_audit.json</x:v>
      </x:c>
    </x:row>
    <x:row r="9">
      <x:c r="A9" s="38" t="str">
        <x:v>EVD-005</x:v>
      </x:c>
      <x:c r="B9" s="38" t="str">
        <x:v>Revisión estática</x:v>
      </x:c>
      <x:c r="C9" s="38" t="str">
        <x:v>Aprobado</x:v>
      </x:c>
      <x:c r="D9" s="38" t="str">
        <x:v>Pantallas principales y roles presentes.</x:v>
      </x:c>
      <x:c r="E9" s="38" t="str">
        <x:v>src/app/components/pages</x:v>
      </x:c>
    </x:row>
    <x:row r="10">
      <x:c r="A10" s="38" t="str">
        <x:v>EVD-006</x:v>
      </x:c>
      <x:c r="B10" s="38" t="str">
        <x:v>Accesibilidad estática</x:v>
      </x:c>
      <x:c r="C10" s="38" t="str">
        <x:v>Observado</x:v>
      </x:c>
      <x:c r="D10" s="38" t="str">
        <x:v>Inputs 5, labels 7, htmlFor 1, modales role=dialog 0.</x:v>
      </x:c>
      <x:c r="E10" s="38" t="str">
        <x:v>Código fuente</x:v>
      </x:c>
    </x:row>
    <x:row r="11">
      <x:c r="A11" s="38" t="str">
        <x:v>EVD-007</x:v>
      </x:c>
      <x:c r="B11" s="38" t="str">
        <x:v>Responsive estático</x:v>
      </x:c>
      <x:c r="C11" s="38" t="str">
        <x:v>Observado</x:v>
      </x:c>
      <x:c r="D11" s="38" t="str">
        <x:v>No se detectan media queries propias; sidebar fija 240px.</x:v>
      </x:c>
      <x:c r="E11" s="38" t="str">
        <x:v>Layout.tsx / Sidebar.tsx</x:v>
      </x:c>
    </x:row>
    <x:row r="12">
      <x:c r="A12" s="38" t="str">
        <x:v>EVD-008</x:v>
      </x:c>
      <x:c r="B12" s="38" t="str">
        <x:v>Versionamiento UI</x:v>
      </x:c>
      <x:c r="C12" s="38" t="str">
        <x:v>Aprobado</x:v>
      </x:c>
      <x:c r="D12" s="38" t="str">
        <x:v>Pantalla Historial de versiones v1.0 presente.</x:v>
      </x:c>
      <x:c r="E12" s="38" t="str">
        <x:v>VersionHistorial.tsx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563dfab3ab64a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68" hidden="0" customWidth="1"/>
    <x:col min="4" max="4" width="16" hidden="0" customWidth="1"/>
    <x:col min="5" max="5" width="46" hidden="0" customWidth="1"/>
  </x:cols>
  <x:sheetData>
    <x:row r="1" ht="30" customHeight="1">
      <x:c r="A1" s="48" t="str">
        <x:v>Plan de versionamiento del prototipo</x:v>
      </x:c>
      <x:c r="B1" s="49" t="str"/>
      <x:c r="C1" s="49" t="str"/>
      <x:c r="D1" s="49" t="str"/>
      <x:c r="E1" s="49" t="str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Control de versiones sugerido para EV3</x:v>
      </x:c>
      <x:c r="B2" t="str"/>
      <x:c r="C2" t="str"/>
      <x:c r="D2" t="str"/>
      <x:c r="E2" t="str"/>
    </x:row>
    <x:row r="4">
      <x:c r="A4" s="27" t="str">
        <x:v>Versión</x:v>
      </x:c>
      <x:c r="B4" s="27" t="str">
        <x:v>Nombre</x:v>
      </x:c>
      <x:c r="C4" s="27" t="str">
        <x:v>Descripción</x:v>
      </x:c>
      <x:c r="D4" s="27" t="str">
        <x:v>Estado</x:v>
      </x:c>
      <x:c r="E4" s="27" t="str">
        <x:v>Notas</x:v>
      </x:c>
    </x:row>
    <x:row r="5">
      <x:c r="A5" s="38" t="str">
        <x:v>1.0</x:v>
      </x:c>
      <x:c r="B5" s="38" t="str">
        <x:v>Prototipo inicial EV3</x:v>
      </x:c>
      <x:c r="C5" s="38" t="str">
        <x:v>Incluye Home, login por roles, dashboards, flujo operador, alertas, reportes, sistemas externos e historial.</x:v>
      </x:c>
      <x:c r="D5" s="38" t="str">
        <x:v>Evaluada</x:v>
      </x:c>
      <x:c r="E5" s="38" t="str">
        <x:v>Base actual</x:v>
      </x:c>
    </x:row>
    <x:row r="6">
      <x:c r="A6" s="38" t="str">
        <x:v>1.1</x:v>
      </x:c>
      <x:c r="B6" s="38" t="str">
        <x:v>Correcciones ISO 25010</x:v>
      </x:c>
      <x:c r="C6" s="38" t="str">
        <x:v>Corregir seguridad de acceso sin sesión, accesibilidad, responsive, exportaciones, simulaciones determinísticas y README.</x:v>
      </x:c>
      <x:c r="D6" s="38" t="str">
        <x:v>Planificada</x:v>
      </x:c>
      <x:c r="E6" s="38" t="str">
        <x:v>Debe generarse desde prompt Figma corregido</x:v>
      </x:c>
    </x:row>
    <x:row r="7">
      <x:c r="A7" s="38" t="str">
        <x:v>1.2</x:v>
      </x:c>
      <x:c r="B7" s="38" t="str">
        <x:v>Ajustes post-pruebas manuales</x:v>
      </x:c>
      <x:c r="C7" s="38" t="str">
        <x:v>Incorporar hallazgos Lighthouse, compatibilidad navegador y revisión docente.</x:v>
      </x:c>
      <x:c r="D7" s="38" t="str">
        <x:v>Planificada</x:v>
      </x:c>
      <x:c r="E7" s="38" t="str">
        <x:v>Usar evidencias de ejecución</x:v>
      </x:c>
    </x:row>
    <x:row r="8">
      <x:c r="A8" s="38" t="str">
        <x:v>2.0</x:v>
      </x:c>
      <x:c r="B8" s="38" t="str">
        <x:v>Prototipo final</x:v>
      </x:c>
      <x:c r="C8" s="38" t="str">
        <x:v>Versión final consolidada para defensa EV3.</x:v>
      </x:c>
      <x:c r="D8" s="38" t="str">
        <x:v>Planificada</x:v>
      </x:c>
      <x:c r="E8" s="38" t="str">
        <x:v>Con tag Git y changelog completo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1782f9ef2a84ac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80" hidden="0" customWidth="1"/>
  </x:cols>
  <x:sheetData>
    <x:row r="1" ht="30" customHeight="1">
      <x:c r="A1" s="48" t="str">
        <x:v>Correcciones priorizadas para Prototipo v1.1</x:v>
      </x:c>
      <x:c r="B1" s="49" t="str"/>
      <x:c r="C1" s="49" t="str"/>
      <x:c r="D1" s="49" t="str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Usar estas correcciones como insumo del prompt Figma</x:v>
      </x:c>
      <x:c r="B2" t="str"/>
      <x:c r="C2" t="str"/>
      <x:c r="D2" t="str"/>
    </x:row>
    <x:row r="4">
      <x:c r="A4" s="27" t="str">
        <x:v>Prioridad</x:v>
      </x:c>
      <x:c r="B4" s="27" t="str">
        <x:v>Categoría</x:v>
      </x:c>
      <x:c r="C4" s="27" t="str">
        <x:v>Corrección</x:v>
      </x:c>
      <x:c r="D4" s="27" t="str">
        <x:v>Detalle</x:v>
      </x:c>
    </x:row>
    <x:row r="5">
      <x:c r="A5" s="38" t="str">
        <x:v>Alta</x:v>
      </x:c>
      <x:c r="B5" s="38" t="str">
        <x:v>Seguridad</x:v>
      </x:c>
      <x:c r="C5" s="38" t="str">
        <x:v>Bloquear módulos internos sin sesión</x:v>
      </x:c>
      <x:c r="D5" s="38" t="str">
        <x:v>Home → Ver sistemas externos debe abrir vista pública limitada o forzar login; nunca mostrar Sidebar admin a usuarios no autenticados.</x:v>
      </x:c>
    </x:row>
    <x:row r="6">
      <x:c r="A6" s="38" t="str">
        <x:v>Alta</x:v>
      </x:c>
      <x:c r="B6" s="38" t="str">
        <x:v>Seguridad</x:v>
      </x:c>
      <x:c r="C6" s="38" t="str">
        <x:v>Actualizar dependencias</x:v>
      </x:c>
      <x:c r="D6" s="38" t="str">
        <x:v>Usar react-router &gt;= 7.18.0 y vite &gt;= 6.4.3 o eliminar dependencia no usada. Reejecutar npm audit.</x:v>
      </x:c>
    </x:row>
    <x:row r="7">
      <x:c r="A7" s="38" t="str">
        <x:v>Alta</x:v>
      </x:c>
      <x:c r="B7" s="38" t="str">
        <x:v>Responsive</x:v>
      </x:c>
      <x:c r="C7" s="38" t="str">
        <x:v>Rediseñar navegación en móvil</x:v>
      </x:c>
      <x:c r="D7" s="38" t="str">
        <x:v>Sidebar debe colapsar en botón menú; dashboards deben usar grid responsive 1/2/4 columnas.</x:v>
      </x:c>
    </x:row>
    <x:row r="8">
      <x:c r="A8" s="38" t="str">
        <x:v>Media</x:v>
      </x:c>
      <x:c r="B8" s="38" t="str">
        <x:v>Accesibilidad</x:v>
      </x:c>
      <x:c r="C8" s="38" t="str">
        <x:v>Formularios semánticos</x:v>
      </x:c>
      <x:c r="D8" s="38" t="str">
        <x:v>Cada label con htmlFor e input/select con id; errores con aria-live.</x:v>
      </x:c>
    </x:row>
    <x:row r="9">
      <x:c r="A9" s="38" t="str">
        <x:v>Media</x:v>
      </x:c>
      <x:c r="B9" s="38" t="str">
        <x:v>Accesibilidad</x:v>
      </x:c>
      <x:c r="C9" s="38" t="str">
        <x:v>Modales accesibles</x:v>
      </x:c>
      <x:c r="D9" s="38" t="str">
        <x:v>role=dialog, aria-modal=true, foco inicial, cierre con Escape, botón cerrar con aria-label.</x:v>
      </x:c>
    </x:row>
    <x:row r="10">
      <x:c r="A10" s="38" t="str">
        <x:v>Media</x:v>
      </x:c>
      <x:c r="B10" s="38" t="str">
        <x:v>Fiabilidad</x:v>
      </x:c>
      <x:c r="C10" s="38" t="str">
        <x:v>Simulaciones controladas</x:v>
      </x:c>
      <x:c r="D10" s="38" t="str">
        <x:v>SAG/PDI/Aduana Limítrofe deben permitir seleccionar resultado Aprobado/Observado/Error para generar evidencia repetible.</x:v>
      </x:c>
    </x:row>
    <x:row r="11">
      <x:c r="A11" s="38" t="str">
        <x:v>Media</x:v>
      </x:c>
      <x:c r="B11" s="38" t="str">
        <x:v>Funcionalidad</x:v>
      </x:c>
      <x:c r="C11" s="38" t="str">
        <x:v>Exportaciones simuladas</x:v>
      </x:c>
      <x:c r="D11" s="38" t="str">
        <x:v>Exportar PDF/Excel/Descargar debe mostrar toast/modal 'reporte generado' con nombre de archivo demo.</x:v>
      </x:c>
    </x:row>
    <x:row r="12">
      <x:c r="A12" s="38" t="str">
        <x:v>Media</x:v>
      </x:c>
      <x:c r="B12" s="38" t="str">
        <x:v>Usabilidad</x:v>
      </x:c>
      <x:c r="C12" s="38" t="str">
        <x:v>Breadcrumbs y footer</x:v>
      </x:c>
      <x:c r="D12" s="38" t="str">
        <x:v>Breadcrumbs intermedios deben navegar; footer debe tener links reales/simulados o no parecer clickeable.</x:v>
      </x:c>
    </x:row>
    <x:row r="13">
      <x:c r="A13" s="38" t="str">
        <x:v>Media</x:v>
      </x:c>
      <x:c r="B13" s="38" t="str">
        <x:v>Mantenibilidad</x:v>
      </x:c>
      <x:c r="C13" s="38" t="str">
        <x:v>README y versionamiento</x:v>
      </x:c>
      <x:c r="D13" s="38" t="str">
        <x:v>Agregar README EV3, CHANGELOG.md y mostrar v1.1 como versión corregida.</x:v>
      </x:c>
    </x:row>
    <x:row r="14">
      <x:c r="A14" s="38" t="str">
        <x:v>Baja</x:v>
      </x:c>
      <x:c r="B14" s="38" t="str">
        <x:v>Mantenibilidad</x:v>
      </x:c>
      <x:c r="C14" s="38" t="str">
        <x:v>Componentizar estilos</x:v>
      </x:c>
      <x:c r="D14" s="38" t="str">
        <x:v>Crear componentes Button, Card, Modal, FormField, DataTable y StatusTag reutilizables.</x:v>
      </x:c>
    </x:row>
    <x:row r="15">
      <x:c r="A15" s="38" t="str">
        <x:v>Baja</x:v>
      </x:c>
      <x:c r="B15" s="38" t="str">
        <x:v>Eficiencia</x:v>
      </x:c>
      <x:c r="C15" s="38" t="str">
        <x:v>Reducir bundle</x:v>
      </x:c>
      <x:c r="D15" s="38" t="str">
        <x:v>Aplicar lazy loading a Reportes/Recharts y pantallas pesadas.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b0d95a84e134f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30" customHeight="1">
      <x:c r="A1" s="48" t="str">
        <x:v>Prompt Figma — Correcciones v1.1</x:v>
      </x:c>
      <x:c r="B1" s="49" t="str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20" customHeight="1">
      <x:c r="A2" s="13" t="str">
        <x:v>Copia el texto completo de esta hoja o usa el archivo .md adjunto</x:v>
      </x:c>
      <x:c r="B2" t="str"/>
    </x:row>
    <x:row r="4">
      <x:c r="A4" s="22" t="str">
        <x:v>Crea una versión corregida del prototipo Figma / código llamada “Prototipo v1.1” para el Sistema de Gestión de Control</x:v>
      </x:c>
    </x:row>
    <x:row r="5">
      <x:c r="A5" s="22" t="str">
        <x:v>Aduanero Fronterizo Los Libertadores.</x:v>
      </x:c>
    </x:row>
    <x:row r="6">
      <x:c r="A6" s="22" t="str"/>
    </x:row>
    <x:row r="7">
      <x:c r="A7" s="22" t="str">
        <x:v>Mantén la base funcional de v1.0:</x:v>
      </x:c>
    </x:row>
    <x:row r="8">
      <x:c r="A8" s="22" t="str">
        <x:v>- Home institucional del Paso Los Libertadores.</x:v>
      </x:c>
    </x:row>
    <x:row r="9">
      <x:c r="A9" s="22" t="str">
        <x:v>- Login con roles Operador Aduanero, Supervisor Aduanero y Administrador del Sistema.</x:v>
      </x:c>
    </x:row>
    <x:row r="10">
      <x:c r="A10" s="22" t="str">
        <x:v>- Dashboards por rol.</x:v>
      </x:c>
    </x:row>
    <x:row r="11">
      <x:c r="A11" s="22" t="str">
        <x:v>- Flujo operador CU-02 a CU-05.</x:v>
      </x:c>
    </x:row>
    <x:row r="12">
      <x:c r="A12" s="22" t="str">
        <x:v>- Gestión de alertas RF09.</x:v>
      </x:c>
    </x:row>
    <x:row r="13">
      <x:c r="A13" s="22" t="str">
        <x:v>- Reportes CU-06.</x:v>
      </x:c>
    </x:row>
    <x:row r="14">
      <x:c r="A14" s="22" t="str">
        <x:v>- Sistemas externos SAG, PDI y Aduana Limítrofe.</x:v>
      </x:c>
    </x:row>
    <x:row r="15">
      <x:c r="A15" s="22" t="str">
        <x:v>- Historial de versiones.</x:v>
      </x:c>
    </x:row>
    <x:row r="16">
      <x:c r="A16" s="22" t="str"/>
    </x:row>
    <x:row r="17">
      <x:c r="A17" s="22" t="str">
        <x:v>Aplica obligatoriamente estas correcciones detectadas en la evaluación ISO/IEC 25010:</x:v>
      </x:c>
    </x:row>
    <x:row r="18">
      <x:c r="A18" s="22" t="str"/>
    </x:row>
    <x:row r="19">
      <x:c r="A19" s="22" t="str">
        <x:v>1. Seguridad y control de acceso</x:v>
      </x:c>
    </x:row>
    <x:row r="20">
      <x:c r="A20" s="22" t="str">
        <x:v>- Ninguna pantalla interna debe mostrarse si no hay sesión iniciada.</x:v>
      </x:c>
    </x:row>
    <x:row r="21">
      <x:c r="A21" s="22" t="str">
        <x:v>- Si el usuario no autenticado presiona “Ver sistemas externos” desde Home, mostrar una vista pública limitada sin</x:v>
      </x:c>
    </x:row>
    <x:row r="22">
      <x:c r="A22" s="22" t="str">
        <x:v>sidebar interno ni opciones de administrador.</x:v>
      </x:c>
    </x:row>
    <x:row r="23">
      <x:c r="A23" s="22" t="str">
        <x:v>- Si intenta entrar a dashboard, reportes, alertas, administración o sistemas internos sin sesión, redirigir a Login con</x:v>
      </x:c>
    </x:row>
    <x:row r="24">
      <x:c r="A24" s="22" t="str">
        <x:v>mensaje: “Debe iniciar sesión para acceder a módulos internos”.</x:v>
      </x:c>
    </x:row>
    <x:row r="25">
      <x:c r="A25" s="22" t="str">
        <x:v>- El Sidebar no debe usar menú de administrador cuando currentUser sea null.</x:v>
      </x:c>
    </x:row>
    <x:row r="26">
      <x:c r="A26" s="22" t="str">
        <x:v>- Mantener separación visual por rol:</x:v>
      </x:c>
    </x:row>
    <x:row r="27">
      <x:c r="A27" s="22" t="str">
        <x:v>  - Operador: expedientes, documentos, vehículos, validaciones, alertas.</x:v>
      </x:c>
    </x:row>
    <x:row r="28">
      <x:c r="A28" s="22" t="str">
        <x:v>  - Supervisor: alertas, revisión manual, expedientes, reportes.</x:v>
      </x:c>
    </x:row>
    <x:row r="29">
      <x:c r="A29" s="22" t="str">
        <x:v>  - Administrador: usuarios, roles, integraciones, auditoría, reportes.</x:v>
      </x:c>
    </x:row>
    <x:row r="30">
      <x:c r="A30" s="22" t="str"/>
    </x:row>
    <x:row r="31">
      <x:c r="A31" s="22" t="str">
        <x:v>2. Accesibilidad</x:v>
      </x:c>
    </x:row>
    <x:row r="32">
      <x:c r="A32" s="22" t="str">
        <x:v>- Todos los formularios deben tener labels asociados mediante htmlFor/id.</x:v>
      </x:c>
    </x:row>
    <x:row r="33">
      <x:c r="A33" s="22" t="str">
        <x:v>- Campos de error deben mostrarse con texto claro y aria-live.</x:v>
      </x:c>
    </x:row>
    <x:row r="34">
      <x:c r="A34" s="22" t="str">
        <x:v>- Los botones solo con ícono deben tener aria-label.</x:v>
      </x:c>
    </x:row>
    <x:row r="35">
      <x:c r="A35" s="22" t="str">
        <x:v>- La campana de alertas, botón cerrar modal, botón mostrar/ocultar clave y botones de navegación deben ser accesibles</x:v>
      </x:c>
    </x:row>
    <x:row r="36">
      <x:c r="A36" s="22" t="str">
        <x:v>por teclado.</x:v>
      </x:c>
    </x:row>
    <x:row r="37">
      <x:c r="A37" s="22" t="str">
        <x:v>- Las credenciales demo deben ser botones, no divs clickeables.</x:v>
      </x:c>
    </x:row>
    <x:row r="38">
      <x:c r="A38" s="22" t="str">
        <x:v>- Los modales de alerta y detalle deben tener role="dialog", aria-modal="true", título asociado, foco inicial y cierre</x:v>
      </x:c>
    </x:row>
    <x:row r="39">
      <x:c r="A39" s="22" t="str">
        <x:v>con Escape.</x:v>
      </x:c>
    </x:row>
    <x:row r="40">
      <x:c r="A40" s="22" t="str">
        <x:v>- No depender solo del color para comunicar estado; acompañar con texto: Aprobado, Pendiente, Observado, Error, En</x:v>
      </x:c>
    </x:row>
    <x:row r="41">
      <x:c r="A41" s="22" t="str">
        <x:v>revisión.</x:v>
      </x:c>
    </x:row>
    <x:row r="42">
      <x:c r="A42" s="22" t="str"/>
    </x:row>
    <x:row r="43">
      <x:c r="A43" s="22" t="str">
        <x:v>3. Diseño responsive</x:v>
      </x:c>
    </x:row>
    <x:row r="44">
      <x:c r="A44" s="22" t="str">
        <x:v>- Crear versión desktop, tablet y móvil.</x:v>
      </x:c>
    </x:row>
    <x:row r="45">
      <x:c r="A45" s="22" t="str">
        <x:v>- En móvil, el Sidebar debe colapsar en un menú hamburguesa.</x:v>
      </x:c>
    </x:row>
    <x:row r="46">
      <x:c r="A46" s="22" t="str">
        <x:v>- Los dashboards deben reorganizar tarjetas a 1 columna en móvil, 2 en tablet y 4 en desktop.</x:v>
      </x:c>
    </x:row>
    <x:row r="47">
      <x:c r="A47" s="22" t="str">
        <x:v>- Las tablas deben permitir scroll horizontal o convertirse en tarjetas en móvil.</x:v>
      </x:c>
    </x:row>
    <x:row r="48">
      <x:c r="A48" s="22" t="str">
        <x:v>- El login no debe quedar en 2 columnas fijas en pantallas pequeñas.</x:v>
      </x:c>
    </x:row>
    <x:row r="49">
      <x:c r="A49" s="22" t="str">
        <x:v>- Los filtros de reportes no deben quedar en 5 columnas fijas; usar auto-fit/minmax.</x:v>
      </x:c>
    </x:row>
    <x:row r="50">
      <x:c r="A50" s="22" t="str"/>
    </x:row>
    <x:row r="51">
      <x:c r="A51" s="22" t="str">
        <x:v>4. Fiabilidad de las validaciones externas</x:v>
      </x:c>
    </x:row>
    <x:row r="52">
      <x:c r="A52" s="22" t="str">
        <x:v>- Eliminar simulaciones aleatorias con Math.random.</x:v>
      </x:c>
    </x:row>
    <x:row r="53">
      <x:c r="A53" s="22" t="str">
        <x:v>- En CU-05, cada sistema externo debe permitir elegir resultado controlado:</x:v>
      </x:c>
    </x:row>
    <x:row r="54">
      <x:c r="A54" s="22" t="str">
        <x:v>  - Aprobado / Sin observaciones.</x:v>
      </x:c>
    </x:row>
    <x:row r="55">
      <x:c r="A55" s="22" t="str">
        <x:v>  - Observado.</x:v>
      </x:c>
    </x:row>
    <x:row r="56">
      <x:c r="A56" s="22" t="str">
        <x:v>  - Error de comunicación.</x:v>
      </x:c>
    </x:row>
    <x:row r="57">
      <x:c r="A57" s="22" t="str">
        <x:v>- SAG, PDI y Aduana Limítrofe deben mostrar fecha/hora, estado, código de respuesta y detalle.</x:v>
      </x:c>
    </x:row>
    <x:row r="58">
      <x:c r="A58" s="22" t="str">
        <x:v>- Si se selecciona “Observado” o “Error”, debe generarse alerta RF09 reproducible.</x:v>
      </x:c>
    </x:row>
    <x:row r="59">
      <x:c r="A59" s="22" t="str"/>
    </x:row>
    <x:row r="60">
      <x:c r="A60" s="22" t="str">
        <x:v>5. Reportes CU-06</x:v>
      </x:c>
    </x:row>
    <x:row r="61">
      <x:c r="A61" s="22" t="str">
        <x:v>- Los botones Exportar PDF, Exportar Excel y Descargar reporte deben tener acción visible.</x:v>
      </x:c>
    </x:row>
    <x:row r="62">
      <x:c r="A62" s="22" t="str">
        <x:v>- Puede ser una descarga simulada, modal o toast.</x:v>
      </x:c>
    </x:row>
    <x:row r="63">
      <x:c r="A63" s="22" t="str">
        <x:v>- Mostrar nombre de archivo demo:</x:v>
      </x:c>
    </x:row>
    <x:row r="64">
      <x:c r="A64" s="22" t="str">
        <x:v>  - reporte_operativo_los_libertadores_v1_1.pdf</x:v>
      </x:c>
    </x:row>
    <x:row r="65">
      <x:c r="A65" s="22" t="str">
        <x:v>  - reporte_operativo_los_libertadores_v1_1.xlsx</x:v>
      </x:c>
    </x:row>
    <x:row r="66">
      <x:c r="A66" s="22" t="str">
        <x:v>- Mostrar estado: “Generando reporte”, “Reporte generado” o “Error al generar”.</x:v>
      </x:c>
    </x:row>
    <x:row r="67">
      <x:c r="A67" s="22" t="str"/>
    </x:row>
    <x:row r="68">
      <x:c r="A68" s="22" t="str">
        <x:v>6. Navegación y enlaces</x:v>
      </x:c>
    </x:row>
    <x:row r="69">
      <x:c r="A69" s="22" t="str">
        <x:v>- Breadcrumbs intermedios deben navegar realmente o no tener cursor de enlace.</x:v>
      </x:c>
    </x:row>
    <x:row r="70">
      <x:c r="A70" s="22" t="str">
        <x:v>- Footer debe tener enlaces simulados funcionales o abrir modal informativo.</x:v>
      </x:c>
    </x:row>
    <x:row r="71">
      <x:c r="A71" s="22" t="str">
        <x:v>- Todos los botones críticos deben tener feedback visible.</x:v>
      </x:c>
    </x:row>
    <x:row r="72">
      <x:c r="A72" s="22" t="str"/>
    </x:row>
    <x:row r="73">
      <x:c r="A73" s="22" t="str">
        <x:v>7. Mantenibilidad del código generado</x:v>
      </x:c>
    </x:row>
    <x:row r="74">
      <x:c r="A74" s="22" t="str">
        <x:v>- Crear componentes reutilizables:</x:v>
      </x:c>
    </x:row>
    <x:row r="75">
      <x:c r="A75" s="22" t="str">
        <x:v>  - Button</x:v>
      </x:c>
    </x:row>
    <x:row r="76">
      <x:c r="A76" s="22" t="str">
        <x:v>  - Card</x:v>
      </x:c>
    </x:row>
    <x:row r="77">
      <x:c r="A77" s="22" t="str">
        <x:v>  - FormField</x:v>
      </x:c>
    </x:row>
    <x:row r="78">
      <x:c r="A78" s="22" t="str">
        <x:v>  - DataTable</x:v>
      </x:c>
    </x:row>
    <x:row r="79">
      <x:c r="A79" s="22" t="str">
        <x:v>  - Modal</x:v>
      </x:c>
    </x:row>
    <x:row r="80">
      <x:c r="A80" s="22" t="str">
        <x:v>  - StatusTag</x:v>
      </x:c>
    </x:row>
    <x:row r="81">
      <x:c r="A81" s="22" t="str">
        <x:v>  - Sidebar</x:v>
      </x:c>
    </x:row>
    <x:row r="82">
      <x:c r="A82" s="22" t="str">
        <x:v>  - Header</x:v>
      </x:c>
    </x:row>
    <x:row r="83">
      <x:c r="A83" s="22" t="str">
        <x:v>  - Toast/Notification</x:v>
      </x:c>
    </x:row>
    <x:row r="84">
      <x:c r="A84" s="22" t="str">
        <x:v>- Evitar duplicación excesiva de estilos inline.</x:v>
      </x:c>
    </x:row>
    <x:row r="85">
      <x:c r="A85" s="22" t="str">
        <x:v>- Mantener paleta institucional centralizada según Framework Gobierno de Chile:</x:v>
      </x:c>
    </x:row>
    <x:row r="86">
      <x:c r="A86" s="22" t="str">
        <x:v>  - Primary #006FB3</x:v>
      </x:c>
    </x:row>
    <x:row r="87">
      <x:c r="A87" s="22" t="str">
        <x:v>  - Secondary #FE6565</x:v>
      </x:c>
    </x:row>
    <x:row r="88">
      <x:c r="A88" s="22" t="str">
        <x:v>  - Tertiary #0A132D</x:v>
      </x:c>
    </x:row>
    <x:row r="89">
      <x:c r="A89" s="22" t="str">
        <x:v>  - Accent #A8B7C7</x:v>
      </x:c>
    </x:row>
    <x:row r="90">
      <x:c r="A90" s="22" t="str">
        <x:v>  - Neutral #EEEEEE</x:v>
      </x:c>
    </x:row>
    <x:row r="91">
      <x:c r="A91" s="22" t="str">
        <x:v>  - Gray A #4A4A4A</x:v>
      </x:c>
    </x:row>
    <x:row r="92">
      <x:c r="A92" s="22" t="str">
        <x:v>  - Gray B #8A8A8A</x:v>
      </x:c>
    </x:row>
    <x:row r="93">
      <x:c r="A93" s="22" t="str">
        <x:v>  - Black #111111</x:v>
      </x:c>
    </x:row>
    <x:row r="94">
      <x:c r="A94" s="22" t="str">
        <x:v>  - White #FFFFFF</x:v>
      </x:c>
    </x:row>
    <x:row r="95">
      <x:c r="A95" s="22" t="str"/>
    </x:row>
    <x:row r="96">
      <x:c r="A96" s="22" t="str">
        <x:v>8. Dependencias y seguridad técnica del código</x:v>
      </x:c>
    </x:row>
    <x:row r="97">
      <x:c r="A97" s="22" t="str">
        <x:v>- Si se genera código React/Vite, usar versiones sin vulnerabilidades altas conocidas:</x:v>
      </x:c>
    </x:row>
    <x:row r="98">
      <x:c r="A98" s="22" t="str">
        <x:v>  - vite &gt;= 6.4.3</x:v>
      </x:c>
    </x:row>
    <x:row r="99">
      <x:c r="A99" s="22" t="str">
        <x:v>  - react-router &gt;= 7.18.0 si se utiliza</x:v>
      </x:c>
    </x:row>
    <x:row r="100">
      <x:c r="A100" s="22" t="str">
        <x:v>- Si react-router no se usa realmente, eliminarlo de dependencias.</x:v>
      </x:c>
    </x:row>
    <x:row r="101">
      <x:c r="A101" s="22" t="str">
        <x:v>- Agregar scripts:</x:v>
      </x:c>
    </x:row>
    <x:row r="102">
      <x:c r="A102" s="22" t="str">
        <x:v>  - dev</x:v>
      </x:c>
    </x:row>
    <x:row r="103">
      <x:c r="A103" s="22" t="str">
        <x:v>  - build</x:v>
      </x:c>
    </x:row>
    <x:row r="104">
      <x:c r="A104" s="22" t="str">
        <x:v>  - preview</x:v>
      </x:c>
    </x:row>
    <x:row r="105">
      <x:c r="A105" s="22" t="str">
        <x:v>  - audit</x:v>
      </x:c>
    </x:row>
    <x:row r="106">
      <x:c r="A106" s="22" t="str">
        <x:v>  - lint</x:v>
      </x:c>
    </x:row>
    <x:row r="107">
      <x:c r="A107" s="22" t="str">
        <x:v>- Incluir lock file package-lock.json o pnpm-lock.yaml.</x:v>
      </x:c>
    </x:row>
    <x:row r="108">
      <x:c r="A108" s="22" t="str"/>
    </x:row>
    <x:row r="109">
      <x:c r="A109" s="22" t="str">
        <x:v>9. Documentación y versionamiento</x:v>
      </x:c>
    </x:row>
    <x:row r="110">
      <x:c r="A110" s="22" t="str">
        <x:v>- Agregar pantalla “Historial de versiones” actualizada:</x:v>
      </x:c>
    </x:row>
    <x:row r="111">
      <x:c r="A111" s="22" t="str">
        <x:v>  - v1.0 Prototipo inicial EV3.</x:v>
      </x:c>
    </x:row>
    <x:row r="112">
      <x:c r="A112" s="22" t="str">
        <x:v>  - v1.1 Correcciones ISO 25010.</x:v>
      </x:c>
    </x:row>
    <x:row r="113">
      <x:c r="A113" s="22" t="str">
        <x:v>- Agregar sección “Correcciones aplicadas v1.1” con:</x:v>
      </x:c>
    </x:row>
    <x:row r="114">
      <x:c r="A114" s="22" t="str">
        <x:v>  - Seguridad de acceso.</x:v>
      </x:c>
    </x:row>
    <x:row r="115">
      <x:c r="A115" s="22" t="str">
        <x:v>  - Accesibilidad.</x:v>
      </x:c>
    </x:row>
    <x:row r="116">
      <x:c r="A116" s="22" t="str">
        <x:v>  - Responsive.</x:v>
      </x:c>
    </x:row>
    <x:row r="117">
      <x:c r="A117" s="22" t="str">
        <x:v>  - Validaciones externas determinísticas.</x:v>
      </x:c>
    </x:row>
    <x:row r="118">
      <x:c r="A118" s="22" t="str">
        <x:v>  - Exportaciones simuladas.</x:v>
      </x:c>
    </x:row>
    <x:row r="119">
      <x:c r="A119" s="22" t="str">
        <x:v>  - Mejoras de navegación.</x:v>
      </x:c>
    </x:row>
    <x:row r="120">
      <x:c r="A120" s="22" t="str">
        <x:v>  - Mejoras de mantenibilidad.</x:v>
      </x:c>
    </x:row>
    <x:row r="121">
      <x:c r="A121" s="22" t="str">
        <x:v>- Incluir una etiqueta visible en header/footer: “Prototipo v1.1”.</x:v>
      </x:c>
    </x:row>
    <x:row r="122">
      <x:c r="A122" s="22" t="str">
        <x:v>- Incluir en el README instrucciones de instalación, ejecución, credenciales demo, pruebas ISO 25010 y versionamiento.</x:v>
      </x:c>
    </x:row>
    <x:row r="123">
      <x:c r="A123" s="22" t="str"/>
    </x:row>
    <x:row r="124">
      <x:c r="A124" s="22" t="str">
        <x:v>10. Mantener el contexto del caso de estudio</x:v>
      </x:c>
    </x:row>
    <x:row r="125">
      <x:c r="A125" s="22" t="str">
        <x:v>- No convertirlo en una app genérica.</x:v>
      </x:c>
    </x:row>
    <x:row r="126">
      <x:c r="A126" s="22" t="str">
        <x:v>- Todo debe seguir contextualizado en Aduana Chile, Paso Fronterizo Los Libertadores, control Chile/Argentina,</x:v>
      </x:c>
    </x:row>
    <x:row r="127">
      <x:c r="A127" s="22" t="str">
        <x:v>expedientes de viajeros, menores de edad, vehículos, alertas, reportes y sistemas externos SAG/PDI/Aduana Limítrofe.</x:v>
      </x:c>
    </x:row>
    <x:row r="128">
      <x:c r="A128" s="22" t="str"/>
    </x:row>
    <x:row r="129">
      <x:c r="A129" s="22" t="str">
        <x:v>Resultado esperado:</x:v>
      </x:c>
    </x:row>
    <x:row r="130">
      <x:c r="A130" s="22" t="str">
        <x:v>- Prototipo v1.1 navegable.</x:v>
      </x:c>
    </x:row>
    <x:row r="131">
      <x:c r="A131" s="22" t="str">
        <x:v>- Correcciones visuales y funcionales aplicadas.</x:v>
      </x:c>
    </x:row>
    <x:row r="132">
      <x:c r="A132" s="22" t="str">
        <x:v>- Diseño compatible con desktop, tablet y móvil.</x:v>
      </x:c>
    </x:row>
    <x:row r="133">
      <x:c r="A133" s="22" t="str">
        <x:v>- Mejor soporte para evaluación ISO/IEC 25010.</x:v>
      </x:c>
    </x:row>
    <x:row r="134">
      <x:c r="A134" s="22" t="str">
        <x:v>- Código más mantenible, accesible y defendible para EV3.</x:v>
      </x:c>
    </x:row>
    <x:row r="135">
      <x:c r="A135" s="22" t="str"/>
    </x:row>
  </x:sheetData>
  <x:mergeCells>
    <x:mergeCell ref="A1:B1"/>
    <x:mergeCell ref="A2:B2"/>
  </x:mergeCells>
  <x:pageMargins left="0.7" right="0.7" top="0.75" bottom="0.75" header="0.3" footer="0.3"/>
</x:worksheet>
</file>